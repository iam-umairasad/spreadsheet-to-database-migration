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S Excel practice\Portfolio\"/>
    </mc:Choice>
  </mc:AlternateContent>
  <xr:revisionPtr revIDLastSave="0" documentId="13_ncr:1_{FA3B8449-D4D7-4C53-B21C-5D278BC0C02E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Summary" sheetId="8" r:id="rId1"/>
    <sheet name="Patients Record " sheetId="2" r:id="rId2"/>
    <sheet name=" OPD Billing " sheetId="4" r:id="rId3"/>
    <sheet name="IPD Billing" sheetId="9" r:id="rId4"/>
    <sheet name="Reference Lists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2" l="1"/>
  <c r="O8" i="2"/>
  <c r="O9" i="2"/>
  <c r="O11" i="2"/>
  <c r="O12" i="2"/>
  <c r="O13" i="2"/>
  <c r="O15" i="2"/>
  <c r="O17" i="2"/>
  <c r="O18" i="2"/>
  <c r="O19" i="2"/>
  <c r="O21" i="2"/>
  <c r="O23" i="2"/>
  <c r="C16" i="9"/>
  <c r="H16" i="9"/>
  <c r="I16" i="9"/>
  <c r="J16" i="9"/>
  <c r="K16" i="9"/>
  <c r="L16" i="9"/>
  <c r="N16" i="9" s="1"/>
  <c r="D5" i="4"/>
  <c r="D6" i="4"/>
  <c r="D7" i="4"/>
  <c r="D8" i="4"/>
  <c r="D9" i="4"/>
  <c r="D10" i="4"/>
  <c r="D11" i="4"/>
  <c r="D12" i="4"/>
  <c r="D13" i="4"/>
  <c r="D14" i="4"/>
  <c r="C15" i="9"/>
  <c r="H15" i="9"/>
  <c r="I15" i="9"/>
  <c r="J15" i="9"/>
  <c r="K15" i="9"/>
  <c r="L15" i="9"/>
  <c r="I23" i="8"/>
  <c r="I20" i="8"/>
  <c r="B14" i="4"/>
  <c r="G14" i="4"/>
  <c r="J14" i="4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5" i="9"/>
  <c r="L6" i="9"/>
  <c r="L7" i="9"/>
  <c r="L8" i="9"/>
  <c r="L9" i="9"/>
  <c r="L10" i="9"/>
  <c r="L11" i="9"/>
  <c r="L12" i="9"/>
  <c r="L13" i="9"/>
  <c r="L14" i="9"/>
  <c r="K5" i="9"/>
  <c r="K6" i="9"/>
  <c r="K7" i="9"/>
  <c r="K8" i="9"/>
  <c r="K9" i="9"/>
  <c r="K10" i="9"/>
  <c r="K11" i="9"/>
  <c r="K12" i="9"/>
  <c r="K13" i="9"/>
  <c r="K14" i="9"/>
  <c r="J5" i="9"/>
  <c r="J6" i="9"/>
  <c r="J7" i="9"/>
  <c r="J8" i="9"/>
  <c r="J9" i="9"/>
  <c r="J10" i="9"/>
  <c r="J11" i="9"/>
  <c r="J12" i="9"/>
  <c r="J13" i="9"/>
  <c r="J14" i="9"/>
  <c r="B5" i="4"/>
  <c r="B6" i="4"/>
  <c r="B7" i="4"/>
  <c r="B8" i="4"/>
  <c r="B9" i="4"/>
  <c r="B10" i="4"/>
  <c r="B11" i="4"/>
  <c r="B12" i="4"/>
  <c r="B13" i="4"/>
  <c r="C5" i="9"/>
  <c r="C6" i="9"/>
  <c r="C7" i="9"/>
  <c r="C8" i="9"/>
  <c r="C9" i="9"/>
  <c r="C10" i="9"/>
  <c r="C11" i="9"/>
  <c r="C12" i="9"/>
  <c r="C13" i="9"/>
  <c r="C14" i="9"/>
  <c r="C16" i="8"/>
  <c r="D18" i="2"/>
  <c r="D19" i="2"/>
  <c r="D22" i="2"/>
  <c r="D23" i="2"/>
  <c r="D15" i="2"/>
  <c r="D16" i="2"/>
  <c r="D17" i="2"/>
  <c r="D20" i="2"/>
  <c r="D21" i="2"/>
  <c r="D24" i="2"/>
  <c r="C14" i="8"/>
  <c r="K14" i="4" l="1"/>
  <c r="L14" i="4" s="1"/>
  <c r="R16" i="9"/>
  <c r="S16" i="9" s="1"/>
  <c r="N15" i="9"/>
  <c r="R15" i="9" s="1"/>
  <c r="S15" i="9" s="1"/>
  <c r="J5" i="4"/>
  <c r="J6" i="4"/>
  <c r="J7" i="4"/>
  <c r="J8" i="4"/>
  <c r="J9" i="4"/>
  <c r="J10" i="4"/>
  <c r="J11" i="4"/>
  <c r="J12" i="4"/>
  <c r="J13" i="4"/>
  <c r="G5" i="4"/>
  <c r="G6" i="4"/>
  <c r="G7" i="4"/>
  <c r="G8" i="4"/>
  <c r="G9" i="4"/>
  <c r="G10" i="4"/>
  <c r="G11" i="4"/>
  <c r="G12" i="4"/>
  <c r="G13" i="4"/>
  <c r="K8" i="4" l="1"/>
  <c r="L8" i="4" s="1"/>
  <c r="O7" i="2" s="1"/>
  <c r="K7" i="4"/>
  <c r="L7" i="4" s="1"/>
  <c r="O16" i="2" s="1"/>
  <c r="K6" i="4"/>
  <c r="L6" i="4" s="1"/>
  <c r="O10" i="2" s="1"/>
  <c r="K12" i="4"/>
  <c r="L12" i="4" s="1"/>
  <c r="O22" i="2" s="1"/>
  <c r="K5" i="4"/>
  <c r="L5" i="4" s="1"/>
  <c r="O14" i="2" s="1"/>
  <c r="K11" i="4"/>
  <c r="L11" i="4" s="1"/>
  <c r="O20" i="2" s="1"/>
  <c r="K9" i="4"/>
  <c r="L9" i="4" s="1"/>
  <c r="K13" i="4"/>
  <c r="L13" i="4" s="1"/>
  <c r="O24" i="2" s="1"/>
  <c r="K10" i="4"/>
  <c r="L10" i="4" s="1"/>
  <c r="O6" i="2" s="1"/>
  <c r="I17" i="8"/>
  <c r="I14" i="8"/>
  <c r="I5" i="9" l="1"/>
  <c r="I6" i="9"/>
  <c r="I7" i="9"/>
  <c r="I8" i="9"/>
  <c r="I9" i="9"/>
  <c r="I10" i="9"/>
  <c r="I11" i="9"/>
  <c r="I12" i="9"/>
  <c r="I13" i="9"/>
  <c r="I14" i="9"/>
  <c r="H5" i="9"/>
  <c r="H6" i="9"/>
  <c r="H7" i="9"/>
  <c r="H8" i="9"/>
  <c r="H9" i="9"/>
  <c r="H10" i="9"/>
  <c r="H11" i="9"/>
  <c r="H12" i="9"/>
  <c r="H13" i="9"/>
  <c r="H14" i="9"/>
  <c r="N9" i="9" l="1"/>
  <c r="R9" i="9" s="1"/>
  <c r="N5" i="9"/>
  <c r="R5" i="9" s="1"/>
  <c r="N14" i="9"/>
  <c r="R14" i="9" s="1"/>
  <c r="N13" i="9"/>
  <c r="R13" i="9" s="1"/>
  <c r="N6" i="9"/>
  <c r="R6" i="9" s="1"/>
  <c r="N10" i="9"/>
  <c r="R10" i="9" s="1"/>
  <c r="N8" i="9"/>
  <c r="R8" i="9" s="1"/>
  <c r="N11" i="9"/>
  <c r="R11" i="9" s="1"/>
  <c r="N7" i="9"/>
  <c r="R7" i="9" s="1"/>
  <c r="N12" i="9"/>
  <c r="R12" i="9" s="1"/>
  <c r="C31" i="8"/>
  <c r="C28" i="8"/>
  <c r="C26" i="8"/>
  <c r="N6" i="8"/>
  <c r="S6" i="9" l="1"/>
  <c r="S13" i="9"/>
  <c r="S8" i="9"/>
  <c r="S14" i="9"/>
  <c r="S9" i="9"/>
  <c r="S11" i="9"/>
  <c r="S12" i="9"/>
  <c r="S10" i="9"/>
  <c r="S5" i="9"/>
  <c r="S7" i="9"/>
  <c r="D5" i="2"/>
  <c r="D6" i="2" l="1"/>
  <c r="D7" i="2"/>
  <c r="D8" i="2"/>
  <c r="D9" i="2"/>
  <c r="D10" i="2"/>
  <c r="D11" i="2"/>
  <c r="D12" i="2"/>
  <c r="D13" i="2"/>
  <c r="D14" i="2"/>
</calcChain>
</file>

<file path=xl/sharedStrings.xml><?xml version="1.0" encoding="utf-8"?>
<sst xmlns="http://schemas.openxmlformats.org/spreadsheetml/2006/main" count="420" uniqueCount="184">
  <si>
    <t>Age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</si>
  <si>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</si>
  <si>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</si>
  <si>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</si>
  <si>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</si>
  <si>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</si>
  <si>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</si>
  <si>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</si>
  <si>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</si>
  <si>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</si>
  <si>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</si>
  <si>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</si>
  <si>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Name 12</t>
  </si>
  <si>
    <t>Name 13</t>
  </si>
  <si>
    <t>Name 14</t>
  </si>
  <si>
    <t>Name 15</t>
  </si>
  <si>
    <t>General</t>
  </si>
  <si>
    <t>ICU</t>
  </si>
  <si>
    <t>CCU</t>
  </si>
  <si>
    <t>Patient ID</t>
  </si>
  <si>
    <t>Patient Name</t>
  </si>
  <si>
    <t>Gender</t>
  </si>
  <si>
    <t>Male</t>
  </si>
  <si>
    <t>Female</t>
  </si>
  <si>
    <t>xxx-xxxxxxx</t>
  </si>
  <si>
    <t>Emergency</t>
  </si>
  <si>
    <t>Address</t>
  </si>
  <si>
    <t>Name</t>
  </si>
  <si>
    <t>DOB</t>
  </si>
  <si>
    <t>Mobile No.</t>
  </si>
  <si>
    <t>Alternate Mobile No.</t>
  </si>
  <si>
    <t>Blood Group</t>
  </si>
  <si>
    <t>Insurance</t>
  </si>
  <si>
    <t>Status</t>
  </si>
  <si>
    <t>Patients Record</t>
  </si>
  <si>
    <t>xyz</t>
  </si>
  <si>
    <t>abc</t>
  </si>
  <si>
    <t>A</t>
  </si>
  <si>
    <t>A+</t>
  </si>
  <si>
    <t>Blood Group List</t>
  </si>
  <si>
    <t>A-</t>
  </si>
  <si>
    <t>B+</t>
  </si>
  <si>
    <t>B-</t>
  </si>
  <si>
    <t>B</t>
  </si>
  <si>
    <t>AB+</t>
  </si>
  <si>
    <t>AB-</t>
  </si>
  <si>
    <t>O+</t>
  </si>
  <si>
    <t>O-</t>
  </si>
  <si>
    <t xml:space="preserve">Bill type </t>
  </si>
  <si>
    <t>Remarks</t>
  </si>
  <si>
    <t>Paid date</t>
  </si>
  <si>
    <t>Invoice No.</t>
  </si>
  <si>
    <t>Discount</t>
  </si>
  <si>
    <t>Net amount</t>
  </si>
  <si>
    <t>Payment Method</t>
  </si>
  <si>
    <t>Cash</t>
  </si>
  <si>
    <t>Card</t>
  </si>
  <si>
    <t>Yes</t>
  </si>
  <si>
    <t>No</t>
  </si>
  <si>
    <t>Amount</t>
  </si>
  <si>
    <t>P-001</t>
  </si>
  <si>
    <t>P-002</t>
  </si>
  <si>
    <t>P-003</t>
  </si>
  <si>
    <t>P-004</t>
  </si>
  <si>
    <t>P-005</t>
  </si>
  <si>
    <t>P-006</t>
  </si>
  <si>
    <t>P-007</t>
  </si>
  <si>
    <t>P-008</t>
  </si>
  <si>
    <t>P-009</t>
  </si>
  <si>
    <t>P-010</t>
  </si>
  <si>
    <t>Registration Date</t>
  </si>
  <si>
    <t>Total Patients</t>
  </si>
  <si>
    <t>Patient Summary</t>
  </si>
  <si>
    <t>Visit Summary</t>
  </si>
  <si>
    <t>This month visits</t>
  </si>
  <si>
    <t>Billing Summary</t>
  </si>
  <si>
    <t>Total Billing Amount</t>
  </si>
  <si>
    <t>Paid Amount</t>
  </si>
  <si>
    <t>Unpaid Amount</t>
  </si>
  <si>
    <t>HOSPITAL MEDICAL SUMMARY REPORT</t>
  </si>
  <si>
    <t>Report Date</t>
  </si>
  <si>
    <t>New Patients (This Month)</t>
  </si>
  <si>
    <t>Total Visits</t>
  </si>
  <si>
    <t>Todays Visits</t>
  </si>
  <si>
    <t xml:space="preserve"> </t>
  </si>
  <si>
    <t>Total Unpaid Bills</t>
  </si>
  <si>
    <t>Active</t>
  </si>
  <si>
    <t>Inactive</t>
  </si>
  <si>
    <t>Patient id.</t>
  </si>
  <si>
    <t xml:space="preserve">Ward type </t>
  </si>
  <si>
    <t>Bed No.</t>
  </si>
  <si>
    <t xml:space="preserve">Admission date </t>
  </si>
  <si>
    <t>Discharge date</t>
  </si>
  <si>
    <t>No. of days</t>
  </si>
  <si>
    <t>Rate per day</t>
  </si>
  <si>
    <t>Room Charges</t>
  </si>
  <si>
    <t>Nursing charges</t>
  </si>
  <si>
    <t>Doctor charges</t>
  </si>
  <si>
    <t>Other charges</t>
  </si>
  <si>
    <t>Total Amount</t>
  </si>
  <si>
    <t>Semi-Private</t>
  </si>
  <si>
    <t>Private</t>
  </si>
  <si>
    <t>Ward rates per day</t>
  </si>
  <si>
    <t>Nursing Charges</t>
  </si>
  <si>
    <t>Doctor Charges</t>
  </si>
  <si>
    <t>IPD Billing Record</t>
  </si>
  <si>
    <t>Paid</t>
  </si>
  <si>
    <t>Payment date</t>
  </si>
  <si>
    <t>Unpaid</t>
  </si>
  <si>
    <t>Discounts</t>
  </si>
  <si>
    <t>Radiology</t>
  </si>
  <si>
    <t>Procedure Name</t>
  </si>
  <si>
    <t>Sample Rate (PKR)</t>
  </si>
  <si>
    <t>Category</t>
  </si>
  <si>
    <t>Consultation (General)</t>
  </si>
  <si>
    <t>Consultation</t>
  </si>
  <si>
    <t>Consultation (Specialist/Professor)</t>
  </si>
  <si>
    <t>Emergency Visit Fee</t>
  </si>
  <si>
    <t>Dressing (Minor)</t>
  </si>
  <si>
    <t>Nursing Care</t>
  </si>
  <si>
    <t>Dressing (Major)</t>
  </si>
  <si>
    <t>Stitch Removal</t>
  </si>
  <si>
    <t>Minor Procedure</t>
  </si>
  <si>
    <t>Injection Fee (IM/IV)</t>
  </si>
  <si>
    <t>Nebulization (Per session)</t>
  </si>
  <si>
    <t>Respiratory</t>
  </si>
  <si>
    <t>ECG</t>
  </si>
  <si>
    <t>Cardiac</t>
  </si>
  <si>
    <t>Lab</t>
  </si>
  <si>
    <t>Surgery (IPD/OPD Stay)</t>
  </si>
  <si>
    <t>Circumcision</t>
  </si>
  <si>
    <t>Minor Surgery</t>
  </si>
  <si>
    <t xml:space="preserve">Ultrasound </t>
  </si>
  <si>
    <t xml:space="preserve">X-Ray </t>
  </si>
  <si>
    <t xml:space="preserve">Blood Sugar </t>
  </si>
  <si>
    <t xml:space="preserve">C-Section </t>
  </si>
  <si>
    <t>Quantity</t>
  </si>
  <si>
    <t>OPD Billing Records</t>
  </si>
  <si>
    <t>Payment status</t>
  </si>
  <si>
    <t>P-011</t>
  </si>
  <si>
    <t>P-012</t>
  </si>
  <si>
    <t>P-013</t>
  </si>
  <si>
    <t>P-014</t>
  </si>
  <si>
    <t>P-015</t>
  </si>
  <si>
    <t>P-016</t>
  </si>
  <si>
    <t>P-017</t>
  </si>
  <si>
    <t>P-018</t>
  </si>
  <si>
    <t>P-019</t>
  </si>
  <si>
    <t>P-020</t>
  </si>
  <si>
    <t>Name 16</t>
  </si>
  <si>
    <t>Name 17</t>
  </si>
  <si>
    <t>Name 18</t>
  </si>
  <si>
    <t>Name 19</t>
  </si>
  <si>
    <t>Name 20</t>
  </si>
  <si>
    <t>Discounts for IPD Billing</t>
  </si>
  <si>
    <t xml:space="preserve">Private </t>
  </si>
  <si>
    <t xml:space="preserve">General </t>
  </si>
  <si>
    <t>Current Condition</t>
  </si>
  <si>
    <t>Current status</t>
  </si>
  <si>
    <t>INV.OPD-1</t>
  </si>
  <si>
    <t>INV.OPD-2</t>
  </si>
  <si>
    <t>INV.OPD-3</t>
  </si>
  <si>
    <t>INV.OPD-4</t>
  </si>
  <si>
    <t>INV.OPD-5</t>
  </si>
  <si>
    <t>INV.OPD-6</t>
  </si>
  <si>
    <t>INV.OPD-7</t>
  </si>
  <si>
    <t>INV.OPD-8</t>
  </si>
  <si>
    <t>INV.OPD-9</t>
  </si>
  <si>
    <t>INV.OPD-10</t>
  </si>
  <si>
    <t xml:space="preserve">Emergency Visit </t>
  </si>
  <si>
    <t>Injection  (IM/IV)</t>
  </si>
  <si>
    <t xml:space="preserve">Nebulization </t>
  </si>
  <si>
    <t>INV.IPD-1</t>
  </si>
  <si>
    <t>INV.IPD-2</t>
  </si>
  <si>
    <t>INV.IPD-3</t>
  </si>
  <si>
    <t>INV.IPD-4</t>
  </si>
  <si>
    <t>INV.IPD-5</t>
  </si>
  <si>
    <t>INV.IPD-6</t>
  </si>
  <si>
    <t>INV.IPD-7</t>
  </si>
  <si>
    <t>INV.IPD-8</t>
  </si>
  <si>
    <t>INV.IPD-9</t>
  </si>
  <si>
    <t>INV.IPD-10</t>
  </si>
  <si>
    <t>INV.IPD-11</t>
  </si>
  <si>
    <t>Condition 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</si>
</sst>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2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2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</patternFill>
    </fill>
  </fills>
  <borders count="10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" fillId="15" borderId="0" applyNumberFormat="0" applyBorder="0" applyAlignment="0" applyProtection="0"/>
  </cellStyleXfs>
  <cellXfs count="4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Font="1" applyBorder="1"/>
    <xf numFmtId="0" fontId="4" fillId="5" borderId="2" xfId="0" applyFont="1" applyFill="1" applyBorder="1"/>
    <xf numFmtId="0" fontId="0" fillId="6" borderId="2" xfId="0" applyFont="1" applyFill="1" applyBorder="1"/>
    <xf numFmtId="0" fontId="0" fillId="0" borderId="2" xfId="0" applyFont="1" applyBorder="1"/>
    <xf numFmtId="14" fontId="0" fillId="0" borderId="0" xfId="0" applyNumberFormat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6" borderId="3" xfId="0" applyFont="1" applyFill="1" applyBorder="1"/>
    <xf numFmtId="0" fontId="0" fillId="6" borderId="4" xfId="0" applyFont="1" applyFill="1" applyBorder="1"/>
    <xf numFmtId="164" fontId="0" fillId="0" borderId="0" xfId="0" applyNumberFormat="1"/>
    <xf numFmtId="15" fontId="0" fillId="0" borderId="0" xfId="0" applyNumberFormat="1"/>
    <xf numFmtId="0" fontId="0" fillId="6" borderId="5" xfId="0" applyFont="1" applyFill="1" applyBorder="1"/>
    <xf numFmtId="0" fontId="0" fillId="6" borderId="6" xfId="0" applyFont="1" applyFill="1" applyBorder="1"/>
    <xf numFmtId="0" fontId="0" fillId="0" borderId="5" xfId="0" applyFont="1" applyBorder="1"/>
    <xf numFmtId="0" fontId="0" fillId="0" borderId="6" xfId="0" applyFont="1" applyBorder="1"/>
    <xf numFmtId="9" fontId="0" fillId="6" borderId="5" xfId="0" applyNumberFormat="1" applyFont="1" applyFill="1" applyBorder="1"/>
    <xf numFmtId="9" fontId="0" fillId="0" borderId="5" xfId="0" applyNumberFormat="1" applyFont="1" applyBorder="1"/>
    <xf numFmtId="9" fontId="0" fillId="6" borderId="6" xfId="0" applyNumberFormat="1" applyFont="1" applyFill="1" applyBorder="1"/>
    <xf numFmtId="9" fontId="0" fillId="0" borderId="0" xfId="1" applyFont="1"/>
    <xf numFmtId="0" fontId="1" fillId="15" borderId="7" xfId="2" applyBorder="1" applyAlignment="1">
      <alignment horizontal="left" vertical="center" wrapText="1" indent="1" readingOrder="1"/>
    </xf>
    <xf numFmtId="0" fontId="1" fillId="15" borderId="9" xfId="2" applyBorder="1" applyAlignment="1">
      <alignment horizontal="left" vertical="center" wrapText="1" indent="1" readingOrder="1"/>
    </xf>
    <xf numFmtId="0" fontId="1" fillId="15" borderId="8" xfId="2" applyBorder="1" applyAlignment="1">
      <alignment horizontal="left" vertical="center" wrapText="1" indent="1" readingOrder="1"/>
    </xf>
    <xf numFmtId="3" fontId="1" fillId="15" borderId="7" xfId="2" applyNumberFormat="1" applyBorder="1" applyAlignment="1">
      <alignment horizontal="left" vertical="center" wrapText="1" indent="1" readingOrder="1"/>
    </xf>
    <xf numFmtId="9" fontId="1" fillId="15" borderId="8" xfId="2" applyNumberFormat="1" applyBorder="1"/>
    <xf numFmtId="0" fontId="1" fillId="15" borderId="8" xfId="2" applyBorder="1"/>
    <xf numFmtId="0" fontId="0" fillId="0" borderId="0" xfId="0" applyNumberFormat="1"/>
    <xf numFmtId="0" fontId="5" fillId="11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14" fontId="7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3">
    <cellStyle name="Accent1" xfId="2" builtinId="29"/>
    <cellStyle name="Normal" xfId="0" builtinId="0"/>
    <cellStyle name="Percent" xfId="1" builtinId="5"/>
  </cellStyles>
  <dxfs count="3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.PatRec" displayName="Tbl.PatRec" ref="A4:P24" totalsRowShown="0" headerRowDxfId="38" dataDxfId="37">
  <autoFilter ref="A4:P24" xr:uid="{00000000-0009-0000-0100-000002000000}"/>
  <tableColumns count="16">
    <tableColumn id="1" xr3:uid="{00000000-0010-0000-0000-000001000000}" name="Patient ID" dataDxfId="36"/>
    <tableColumn id="2" xr3:uid="{00000000-0010-0000-0000-000002000000}" name="Name" dataDxfId="35"/>
    <tableColumn id="3" xr3:uid="{00000000-0010-0000-0000-000003000000}" name="DOB" dataDxfId="34"/>
    <tableColumn id="4" xr3:uid="{00000000-0010-0000-0000-000004000000}" name="Age" dataDxfId="33">
      <calculatedColumnFormula>IF(C5="","",DATEDIF(C5,TODAY(),"Y"))</calculatedColumnFormula>
    </tableColumn>
    <tableColumn id="5" xr3:uid="{00000000-0010-0000-0000-000005000000}" name="Gender" dataDxfId="32"/>
    <tableColumn id="6" xr3:uid="{00000000-0010-0000-0000-000006000000}" name="Registration Date" dataDxfId="31"/>
    <tableColumn id="7" xr3:uid="{00000000-0010-0000-0000-000007000000}" name="Mobile No." dataDxfId="30"/>
    <tableColumn id="8" xr3:uid="{00000000-0010-0000-0000-000008000000}" name="Alternate Mobile No." dataDxfId="29"/>
    <tableColumn id="9" xr3:uid="{00000000-0010-0000-0000-000009000000}" name="Address" dataDxfId="28"/>
    <tableColumn id="10" xr3:uid="{00000000-0010-0000-0000-00000A000000}" name="Blood Group" dataDxfId="27"/>
    <tableColumn id="12" xr3:uid="{00000000-0010-0000-0000-00000C000000}" name="Insurance" dataDxfId="26"/>
    <tableColumn id="13" xr3:uid="{00000000-0010-0000-0000-00000D000000}" name="Current Condition" dataDxfId="25">
      <calculatedColumnFormula>IF(_xlfn.XLOOKUP(Tbl.PatRec[[#This Row],[Patient ID]],tblIPD[Patient id.],tblIPD[Patient id.],"")&lt;&gt;"","Admitted (IPD)",IF(_xlfn.XLOOKUP(Tbl.PatRec[[#This Row],[Patient ID]],tblOPD[Patient id.],tblOPD[Patient id.],"")&lt;&gt;"","Active OPD","Registered"))</calculatedColumnFormula>
    </tableColumn>
    <tableColumn id="16" xr3:uid="{03129743-072D-4E78-9606-068FB36D911F}" name="Condition Transition" dataDxfId="24">
      <calculatedColumnFormula>IF(AND(_xlfn.XLOOKUP(Tbl.PatRec[[#This Row],[Patient ID]],tblIPD[Patient id.],tblIPD[Patient id.],"")&lt;&gt;"",_xlfn.XLOOKUP(Tbl.PatRec[[#This Row],[Patient ID]],tblOPD[Patient id.],tblOPD[Patient id.],"")&lt;&gt;""),"OPD → IPD Transition","")</calculatedColumnFormula>
    </tableColumn>
    <tableColumn id="11" xr3:uid="{FC68037A-AF27-43AD-B67D-C3BA02F88E2D}" name="Status" dataDxfId="23"/>
    <tableColumn id="14" xr3:uid="{00000000-0010-0000-0000-00000E000000}" name="Total Amount" dataDxfId="22">
      <calculatedColumnFormula>IFERROR(IF(Tbl.PatRec[[#This Row],[Current Condition]]="Admitted (IPD)",_xlfn.XLOOKUP(Tbl.PatRec[[#This Row],[Patient ID]],tblIPD[Patient id.],tblIPD[Net amount],""),IF(Tbl.PatRec[[#This Row],[Current Condition]]="Active OPD",_xlfn.XLOOKUP(Tbl.PatRec[[#This Row],[Patient ID]],tblOPD[Patient id.],tblOPD[Net amount],""),"")),"")</calculatedColumnFormula>
    </tableColumn>
    <tableColumn id="15" xr3:uid="{00000000-0010-0000-0000-00000F000000}" name="Payment status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OPD" displayName="tblOPD" ref="A4:M14" totalsRowShown="0" headerRowDxfId="20">
  <autoFilter ref="A4:M14" xr:uid="{00000000-0009-0000-0100-000004000000}"/>
  <tableColumns count="13">
    <tableColumn id="1" xr3:uid="{00000000-0010-0000-0100-000001000000}" name="Invoice No." dataDxfId="19"/>
    <tableColumn id="2" xr3:uid="{00000000-0010-0000-0100-000002000000}" name="Patient Name" dataDxfId="18">
      <calculatedColumnFormula>_xlfn.XLOOKUP(tblOPD[[#This Row],[Patient id.]],Tbl.PatRec[Patient ID],Tbl.PatRec[Name],"",0)</calculatedColumnFormula>
    </tableColumn>
    <tableColumn id="3" xr3:uid="{00000000-0010-0000-0100-000003000000}" name="Patient id."/>
    <tableColumn id="10" xr3:uid="{3A89290B-E87D-4572-A01C-EA450A827FDF}" name="Current status" dataDxfId="17">
      <calculatedColumnFormula>IF(_xlfn.XLOOKUP(tblOPD[[#This Row],[Patient id.]],tblIPD[Patient id.],tblIPD[Patient id.],"")&lt;&gt;"","OPD → IPD Transition","OPD")</calculatedColumnFormula>
    </tableColumn>
    <tableColumn id="4" xr3:uid="{00000000-0010-0000-0100-000004000000}" name="Bill type "/>
    <tableColumn id="9" xr3:uid="{00000000-0010-0000-0100-000009000000}" name="Quantity"/>
    <tableColumn id="5" xr3:uid="{00000000-0010-0000-0100-000005000000}" name="Amount" dataDxfId="16">
      <calculatedColumnFormula>IFERROR(VLOOKUP(tblOPD[[#This Row],[Bill type ]],'Reference Lists'!$A$25:$B$38,2,FALSE)*MAX(1,tblOPD[[#This Row],[Quantity]]),"")</calculatedColumnFormula>
    </tableColumn>
    <tableColumn id="6" xr3:uid="{00000000-0010-0000-0100-000006000000}" name="Status"/>
    <tableColumn id="7" xr3:uid="{00000000-0010-0000-0100-000007000000}" name="Payment Method"/>
    <tableColumn id="8" xr3:uid="{00000000-0010-0000-0100-000008000000}" name="Paid date" dataDxfId="15">
      <calculatedColumnFormula>TODAY()</calculatedColumnFormula>
    </tableColumn>
    <tableColumn id="11" xr3:uid="{00000000-0010-0000-0100-00000B000000}" name="Discount" dataDxfId="14">
      <calculatedColumnFormula>IFERROR((VLOOKUP(tblOPD[[#This Row],[Bill type ]],'Reference Lists'!$A$24:$D$38,4,FALSE))*tblOPD[[#This Row],[Amount]],"")</calculatedColumnFormula>
    </tableColumn>
    <tableColumn id="12" xr3:uid="{00000000-0010-0000-0100-00000C000000}" name="Net amount" dataDxfId="13">
      <calculatedColumnFormula>IFERROR(tblOPD[[#This Row],[Amount]]-tblOPD[[#This Row],[Discount]],"")</calculatedColumnFormula>
    </tableColumn>
    <tableColumn id="13" xr3:uid="{00000000-0010-0000-0100-00000D000000}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blIPD" displayName="tblIPD" ref="A4:T16" totalsRowShown="0" headerRowDxfId="12">
  <autoFilter ref="A4:T16" xr:uid="{00000000-0009-0000-0100-000001000000}"/>
  <tableColumns count="20">
    <tableColumn id="1" xr3:uid="{00000000-0010-0000-0200-000001000000}" name="Invoice No."/>
    <tableColumn id="14" xr3:uid="{00000000-0010-0000-0200-00000E000000}" name="Patient id." dataDxfId="11"/>
    <tableColumn id="2" xr3:uid="{00000000-0010-0000-0200-000002000000}" name="Name" dataDxfId="10">
      <calculatedColumnFormula>_xlfn.XLOOKUP(tblIPD[[#This Row],[Patient id.]],Tbl.PatRec[Patient ID],Tbl.PatRec[Name],"",0)</calculatedColumnFormula>
    </tableColumn>
    <tableColumn id="4" xr3:uid="{00000000-0010-0000-0200-000004000000}" name="Ward type "/>
    <tableColumn id="15" xr3:uid="{00000000-0010-0000-0200-00000F000000}" name="Bed No." dataDxfId="9"/>
    <tableColumn id="16" xr3:uid="{00000000-0010-0000-0200-000010000000}" name="Admission date " dataDxfId="8"/>
    <tableColumn id="17" xr3:uid="{00000000-0010-0000-0200-000011000000}" name="Discharge date"/>
    <tableColumn id="18" xr3:uid="{00000000-0010-0000-0200-000012000000}" name="No. of days" dataDxfId="7">
      <calculatedColumnFormula>tblIPD[[#This Row],[Discharge date]]-tblIPD[[#This Row],[Admission date ]]+1</calculatedColumnFormula>
    </tableColumn>
    <tableColumn id="19" xr3:uid="{00000000-0010-0000-0200-000013000000}" name="Rate per day" dataDxfId="6">
      <calculatedColumnFormula>IF(tblIPD[[#This Row],[Ward type ]]="General",'Reference Lists'!$I$13,IF(tblIPD[[#This Row],[Ward type ]]="Semi-Private",'Reference Lists'!$I$14,IF(tblIPD[[#This Row],[Ward type ]]="Private",'Reference Lists'!$I$15,IF(tblIPD[[#This Row],[Ward type ]]="ICU",'Reference Lists'!$I$17,IF(tblIPD[[#This Row],[Ward type ]]="CCU",'Reference Lists'!$I$16,"")))))</calculatedColumnFormula>
    </tableColumn>
    <tableColumn id="20" xr3:uid="{00000000-0010-0000-0200-000014000000}" name="Room Charges" dataDxfId="5">
      <calculatedColumnFormula>IF(tblIPD[[#This Row],[Ward type ]]="General",'Reference Lists'!$B$13,IF(tblIPD[[#This Row],[Ward type ]]="Semi-Private",'Reference Lists'!$B$14,IF(tblIPD[[#This Row],[Ward type ]]="Private",'Reference Lists'!$B$15,IF(tblIPD[[#This Row],[Ward type ]]="ICU",'Reference Lists'!$B$16,IF(tblIPD[[#This Row],[Ward type ]]="CCU",'Reference Lists'!$B$17,"")))))</calculatedColumnFormula>
    </tableColumn>
    <tableColumn id="21" xr3:uid="{00000000-0010-0000-0200-000015000000}" name="Nursing charges" dataDxfId="4">
      <calculatedColumnFormula>IF(tblIPD[[#This Row],[Ward type ]]="General",'Reference Lists'!$E$4,IF(tblIPD[[#This Row],[Ward type ]]="Semi-Private",'Reference Lists'!$E$5,IF(tblIPD[[#This Row],[Ward type ]]="Private",'Reference Lists'!$E$6,IF(tblIPD[[#This Row],[Ward type ]]="ICU",'Reference Lists'!$B$16,IF(tblIPD[[#This Row],[Ward type ]]="CCU",'Reference Lists'!$B$17,"")))))</calculatedColumnFormula>
    </tableColumn>
    <tableColumn id="22" xr3:uid="{00000000-0010-0000-0200-000016000000}" name="Doctor charges" dataDxfId="3">
      <calculatedColumnFormula>IF(tblIPD[[#This Row],[Ward type ]]="General",'Reference Lists'!$E$13,IF(tblIPD[[#This Row],[Ward type ]]="Semi-Private",'Reference Lists'!$E$14,IF(tblIPD[[#This Row],[Ward type ]]="Private",'Reference Lists'!$E$15,IF(tblIPD[[#This Row],[Ward type ]]="ICU",'Reference Lists'!$E$16,IF(tblIPD[[#This Row],[Ward type ]]="CCU",'Reference Lists'!$E$17,"")))))</calculatedColumnFormula>
    </tableColumn>
    <tableColumn id="23" xr3:uid="{00000000-0010-0000-0200-000017000000}" name="Other charges"/>
    <tableColumn id="5" xr3:uid="{00000000-0010-0000-0200-000005000000}" name="Total Amount" dataDxfId="2">
      <calculatedColumnFormula>(tblIPD[[#This Row],[Other charges]]+tblIPD[[#This Row],[Doctor charges]]+tblIPD[[#This Row],[Nursing charges]]+tblIPD[[#This Row],[Room Charges]]+tblIPD[[#This Row],[Rate per day]])*tblIPD[[#This Row],[No. of days]]</calculatedColumnFormula>
    </tableColumn>
    <tableColumn id="6" xr3:uid="{00000000-0010-0000-0200-000006000000}" name="Status"/>
    <tableColumn id="7" xr3:uid="{00000000-0010-0000-0200-000007000000}" name="Payment Method"/>
    <tableColumn id="8" xr3:uid="{00000000-0010-0000-0200-000008000000}" name="Payment date"/>
    <tableColumn id="11" xr3:uid="{00000000-0010-0000-0200-00000B000000}" name="Discount" dataDxfId="1">
      <calculatedColumnFormula>tblIPD[[#This Row],[Total Amount]]*VLOOKUP(tblIPD[[#This Row],[Ward type ]],'Reference Lists'!$A$4:$B$8,2,FALSE)</calculatedColumnFormula>
    </tableColumn>
    <tableColumn id="12" xr3:uid="{00000000-0010-0000-0200-00000C000000}" name="Net amount" dataDxfId="0">
      <calculatedColumnFormula>tblIPD[[#This Row],[Total Amount]]-tblIPD[[#This Row],[Discount]]</calculatedColumnFormula>
    </tableColumn>
    <tableColumn id="13" xr3:uid="{00000000-0010-0000-0200-00000D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zoomScale="55" zoomScaleNormal="100" workbookViewId="0">
      <selection activeCell="C28" sqref="C28:C30"/>
    </sheetView>
  </sheetViews>
  <sheetFormatPr defaultRowHeight="14.5" x14ac:dyDescent="0.35"/>
  <cols>
    <col min="1" max="1" width="13.7265625" bestFit="1" customWidth="1"/>
    <col min="2" max="2" width="8.7265625" customWidth="1"/>
    <col min="3" max="3" width="9.26953125" bestFit="1" customWidth="1"/>
    <col min="9" max="9" width="10.1796875" customWidth="1"/>
  </cols>
  <sheetData>
    <row r="1" spans="1:16" ht="15" customHeight="1" x14ac:dyDescent="0.35">
      <c r="K1" s="35" t="s">
        <v>79</v>
      </c>
      <c r="L1" s="35"/>
      <c r="M1" s="35"/>
      <c r="N1" s="35"/>
      <c r="O1" s="35"/>
      <c r="P1" s="35"/>
    </row>
    <row r="2" spans="1:16" ht="15" customHeight="1" x14ac:dyDescent="0.35">
      <c r="K2" s="35"/>
      <c r="L2" s="35"/>
      <c r="M2" s="35"/>
      <c r="N2" s="35"/>
      <c r="O2" s="35"/>
      <c r="P2" s="35"/>
    </row>
    <row r="3" spans="1:16" ht="15" customHeight="1" x14ac:dyDescent="0.35">
      <c r="K3" s="35"/>
      <c r="L3" s="35"/>
      <c r="M3" s="35"/>
      <c r="N3" s="35"/>
      <c r="O3" s="35"/>
      <c r="P3" s="35"/>
    </row>
    <row r="4" spans="1:16" ht="15" customHeight="1" x14ac:dyDescent="0.35">
      <c r="K4" s="35"/>
      <c r="L4" s="35"/>
      <c r="M4" s="35"/>
      <c r="N4" s="35"/>
      <c r="O4" s="35"/>
      <c r="P4" s="35"/>
    </row>
    <row r="6" spans="1:16" ht="15" customHeight="1" x14ac:dyDescent="0.35">
      <c r="L6" s="36" t="s">
        <v>80</v>
      </c>
      <c r="M6" s="36"/>
      <c r="N6" s="37">
        <f ca="1">TODAY()</f>
        <v>46027</v>
      </c>
      <c r="O6" s="38"/>
    </row>
    <row r="7" spans="1:16" ht="15" customHeight="1" x14ac:dyDescent="0.35">
      <c r="L7" s="36"/>
      <c r="M7" s="36"/>
      <c r="N7" s="38"/>
      <c r="O7" s="38"/>
    </row>
    <row r="8" spans="1:16" ht="15" customHeight="1" x14ac:dyDescent="0.35"/>
    <row r="9" spans="1:16" ht="15" customHeight="1" x14ac:dyDescent="0.35"/>
    <row r="10" spans="1:16" ht="15" customHeight="1" x14ac:dyDescent="0.35"/>
    <row r="11" spans="1:16" x14ac:dyDescent="0.35">
      <c r="A11" s="40" t="s">
        <v>72</v>
      </c>
      <c r="B11" s="40"/>
      <c r="C11" s="40"/>
      <c r="G11" s="39" t="s">
        <v>75</v>
      </c>
      <c r="H11" s="39"/>
      <c r="I11" s="39"/>
    </row>
    <row r="12" spans="1:16" x14ac:dyDescent="0.35">
      <c r="A12" s="40"/>
      <c r="B12" s="40"/>
      <c r="C12" s="40"/>
      <c r="G12" s="39"/>
      <c r="H12" s="39"/>
      <c r="I12" s="39"/>
    </row>
    <row r="14" spans="1:16" ht="15" customHeight="1" x14ac:dyDescent="0.35">
      <c r="A14" s="30" t="s">
        <v>71</v>
      </c>
      <c r="B14" s="30"/>
      <c r="C14" s="31">
        <f>COUNTA('Patients Record '!A5:A24)</f>
        <v>20</v>
      </c>
      <c r="G14" s="30" t="s">
        <v>76</v>
      </c>
      <c r="H14" s="30"/>
      <c r="I14" s="31">
        <f>SUM(' OPD Billing '!G5:G14)</f>
        <v>50000</v>
      </c>
    </row>
    <row r="15" spans="1:16" ht="15" customHeight="1" x14ac:dyDescent="0.35">
      <c r="A15" s="30"/>
      <c r="B15" s="30"/>
      <c r="C15" s="31"/>
      <c r="G15" s="30"/>
      <c r="H15" s="30"/>
      <c r="I15" s="32"/>
    </row>
    <row r="16" spans="1:16" ht="15" customHeight="1" x14ac:dyDescent="0.35">
      <c r="A16" s="34" t="s">
        <v>81</v>
      </c>
      <c r="B16" s="34"/>
      <c r="C16" s="31">
        <f ca="1">COUNTIFS('Patients Record '!F5:F24,"&gt;="&amp;EOMONTH(TODAY(),-1)+1,'Patients Record '!F5:F24,"&lt;="&amp;TODAY())</f>
        <v>0</v>
      </c>
      <c r="G16" s="30"/>
      <c r="H16" s="30"/>
      <c r="I16" s="32"/>
    </row>
    <row r="17" spans="1:15" ht="15" customHeight="1" x14ac:dyDescent="0.35">
      <c r="A17" s="34"/>
      <c r="B17" s="34"/>
      <c r="C17" s="32"/>
      <c r="G17" s="34" t="s">
        <v>77</v>
      </c>
      <c r="H17" s="34"/>
      <c r="I17" s="31">
        <f>SUMIF(' OPD Billing '!H5:H14,"Paid",' OPD Billing '!G5:G14)</f>
        <v>50000</v>
      </c>
    </row>
    <row r="18" spans="1:15" ht="23.25" customHeight="1" x14ac:dyDescent="0.35">
      <c r="A18" s="34"/>
      <c r="B18" s="34"/>
      <c r="C18" s="32"/>
      <c r="G18" s="34"/>
      <c r="H18" s="34"/>
      <c r="I18" s="32"/>
    </row>
    <row r="19" spans="1:15" ht="15" customHeight="1" x14ac:dyDescent="0.35">
      <c r="G19" s="34"/>
      <c r="H19" s="34"/>
      <c r="I19" s="32"/>
    </row>
    <row r="20" spans="1:15" ht="15" customHeight="1" x14ac:dyDescent="0.35">
      <c r="G20" s="30" t="s">
        <v>78</v>
      </c>
      <c r="H20" s="30"/>
      <c r="I20" s="31">
        <f>SUMIF(' OPD Billing '!H5:H14,"Unpaid",' OPD Billing '!G5:G14)</f>
        <v>0</v>
      </c>
      <c r="O20" t="s">
        <v>84</v>
      </c>
    </row>
    <row r="21" spans="1:15" ht="15" customHeight="1" x14ac:dyDescent="0.35">
      <c r="G21" s="30"/>
      <c r="H21" s="30"/>
      <c r="I21" s="32"/>
    </row>
    <row r="22" spans="1:15" ht="14.5" customHeight="1" x14ac:dyDescent="0.35">
      <c r="G22" s="30"/>
      <c r="H22" s="30"/>
      <c r="I22" s="32"/>
    </row>
    <row r="23" spans="1:15" x14ac:dyDescent="0.35">
      <c r="A23" s="41" t="s">
        <v>73</v>
      </c>
      <c r="B23" s="41"/>
      <c r="C23" s="41"/>
      <c r="G23" s="33" t="s">
        <v>85</v>
      </c>
      <c r="H23" s="33"/>
      <c r="I23" s="31">
        <f>COUNTIF(' OPD Billing '!H5:H14,"Unpaid")</f>
        <v>0</v>
      </c>
    </row>
    <row r="24" spans="1:15" x14ac:dyDescent="0.35">
      <c r="A24" s="41"/>
      <c r="B24" s="41"/>
      <c r="C24" s="41"/>
      <c r="G24" s="33"/>
      <c r="H24" s="33"/>
      <c r="I24" s="32"/>
    </row>
    <row r="25" spans="1:15" x14ac:dyDescent="0.35">
      <c r="G25" s="33"/>
      <c r="H25" s="33"/>
      <c r="I25" s="32"/>
    </row>
    <row r="26" spans="1:15" ht="14.5" customHeight="1" x14ac:dyDescent="0.35">
      <c r="A26" s="30" t="s">
        <v>82</v>
      </c>
      <c r="B26" s="30"/>
      <c r="C26" s="32">
        <f>COUNTA(#REF!)</f>
        <v>1</v>
      </c>
    </row>
    <row r="27" spans="1:15" ht="14.5" customHeight="1" x14ac:dyDescent="0.35">
      <c r="A27" s="30"/>
      <c r="B27" s="30"/>
      <c r="C27" s="32"/>
    </row>
    <row r="28" spans="1:15" x14ac:dyDescent="0.35">
      <c r="A28" s="34" t="s">
        <v>83</v>
      </c>
      <c r="B28" s="34"/>
      <c r="C28" s="32" t="e">
        <f ca="1">COUNTIF(#REF!,TODAY())</f>
        <v>#REF!</v>
      </c>
    </row>
    <row r="29" spans="1:15" x14ac:dyDescent="0.35">
      <c r="A29" s="34"/>
      <c r="B29" s="34"/>
      <c r="C29" s="32"/>
    </row>
    <row r="30" spans="1:15" x14ac:dyDescent="0.35">
      <c r="A30" s="34"/>
      <c r="B30" s="34"/>
      <c r="C30" s="32"/>
    </row>
    <row r="31" spans="1:15" x14ac:dyDescent="0.35">
      <c r="A31" s="30" t="s">
        <v>74</v>
      </c>
      <c r="B31" s="30"/>
      <c r="C31" s="32" t="e">
        <f ca="1">COUNTIFS(#REF!,"&gt;="&amp;EOMONTH(TODAY(),-1)+1,#REF!,"&lt;="&amp;TODAY())</f>
        <v>#REF!</v>
      </c>
    </row>
    <row r="32" spans="1:15" x14ac:dyDescent="0.35">
      <c r="A32" s="30"/>
      <c r="B32" s="30"/>
      <c r="C32" s="32"/>
    </row>
    <row r="33" spans="1:3" x14ac:dyDescent="0.35">
      <c r="A33" s="30"/>
      <c r="B33" s="30"/>
      <c r="C33" s="32"/>
    </row>
  </sheetData>
  <mergeCells count="24">
    <mergeCell ref="A31:B33"/>
    <mergeCell ref="C31:C33"/>
    <mergeCell ref="A28:B30"/>
    <mergeCell ref="C28:C30"/>
    <mergeCell ref="K1:P4"/>
    <mergeCell ref="L6:M7"/>
    <mergeCell ref="N6:O7"/>
    <mergeCell ref="G11:I12"/>
    <mergeCell ref="A11:C12"/>
    <mergeCell ref="G14:H16"/>
    <mergeCell ref="I14:I16"/>
    <mergeCell ref="A23:C24"/>
    <mergeCell ref="A26:B27"/>
    <mergeCell ref="C26:C27"/>
    <mergeCell ref="G17:H19"/>
    <mergeCell ref="I17:I19"/>
    <mergeCell ref="G20:H22"/>
    <mergeCell ref="I20:I22"/>
    <mergeCell ref="G23:H25"/>
    <mergeCell ref="I23:I25"/>
    <mergeCell ref="A14:B15"/>
    <mergeCell ref="C14:C15"/>
    <mergeCell ref="A16:B18"/>
    <mergeCell ref="C16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P25"/>
  <sheetViews>
    <sheetView topLeftCell="G1" zoomScale="107" zoomScaleNormal="127" workbookViewId="0">
      <selection activeCell="P4" sqref="P4"/>
    </sheetView>
  </sheetViews>
  <sheetFormatPr defaultRowHeight="14.5" x14ac:dyDescent="0.35"/>
  <cols>
    <col min="1" max="1" width="10.1796875" customWidth="1"/>
    <col min="2" max="2" width="12" bestFit="1" customWidth="1"/>
    <col min="3" max="3" width="11.54296875" bestFit="1" customWidth="1"/>
    <col min="4" max="4" width="8.453125" bestFit="1" customWidth="1"/>
    <col min="5" max="5" width="8" customWidth="1"/>
    <col min="6" max="6" width="16.453125" bestFit="1" customWidth="1"/>
    <col min="7" max="7" width="14.26953125" bestFit="1" customWidth="1"/>
    <col min="8" max="8" width="19.453125" customWidth="1"/>
    <col min="10" max="10" width="12.453125" customWidth="1"/>
    <col min="11" max="11" width="10" customWidth="1"/>
    <col min="12" max="12" width="20.54296875" bestFit="1" customWidth="1"/>
    <col min="13" max="14" width="20.54296875" customWidth="1"/>
  </cols>
  <sheetData>
    <row r="1" spans="1:16" ht="14.5" customHeight="1" x14ac:dyDescent="0.35">
      <c r="C1" s="42" t="s">
        <v>34</v>
      </c>
      <c r="D1" s="42"/>
      <c r="E1" s="42"/>
      <c r="F1" s="42"/>
      <c r="G1" s="42"/>
      <c r="H1" s="42"/>
    </row>
    <row r="2" spans="1:16" ht="14.5" customHeight="1" x14ac:dyDescent="0.35">
      <c r="C2" s="42"/>
      <c r="D2" s="42"/>
      <c r="E2" s="42"/>
      <c r="F2" s="42"/>
      <c r="G2" s="42"/>
      <c r="H2" s="42"/>
    </row>
    <row r="4" spans="1:16" ht="26.15" customHeight="1" x14ac:dyDescent="0.35">
      <c r="A4" s="9" t="s">
        <v>19</v>
      </c>
      <c r="B4" s="9" t="s">
        <v>27</v>
      </c>
      <c r="C4" s="9" t="s">
        <v>28</v>
      </c>
      <c r="D4" s="9" t="s">
        <v>0</v>
      </c>
      <c r="E4" s="9" t="s">
        <v>21</v>
      </c>
      <c r="F4" s="10" t="s">
        <v>70</v>
      </c>
      <c r="G4" s="9" t="s">
        <v>29</v>
      </c>
      <c r="H4" s="9" t="s">
        <v>30</v>
      </c>
      <c r="I4" s="9" t="s">
        <v>26</v>
      </c>
      <c r="J4" s="9" t="s">
        <v>31</v>
      </c>
      <c r="K4" s="9" t="s">
        <v>32</v>
      </c>
      <c r="L4" s="9" t="s">
        <v>157</v>
      </c>
      <c r="M4" s="2" t="s">
        <v>183</v>
      </c>
      <c r="N4" s="9" t="s">
        <v>33</v>
      </c>
      <c r="O4" s="9" t="s">
        <v>99</v>
      </c>
      <c r="P4" s="9" t="s">
        <v>138</v>
      </c>
    </row>
    <row r="5" spans="1:16" x14ac:dyDescent="0.35">
      <c r="A5" s="2" t="s">
        <v>60</v>
      </c>
      <c r="B5" s="2" t="s">
        <v>1</v>
      </c>
      <c r="C5" s="7">
        <v>20387</v>
      </c>
      <c r="D5" s="2">
        <f ca="1">IF(C5="","",DATEDIF(C5,TODAY(),"Y"))</f>
        <v>70</v>
      </c>
      <c r="E5" s="2" t="s">
        <v>22</v>
      </c>
      <c r="F5" s="7">
        <v>45358</v>
      </c>
      <c r="G5" s="2" t="s">
        <v>24</v>
      </c>
      <c r="H5" s="2" t="s">
        <v>24</v>
      </c>
      <c r="I5" s="2" t="s">
        <v>35</v>
      </c>
      <c r="J5" s="2" t="s">
        <v>38</v>
      </c>
      <c r="K5" s="2" t="s">
        <v>57</v>
      </c>
      <c r="L5" s="2" t="str">
        <f>IF(_xlfn.XLOOKUP(Tbl.PatRec[[#This Row],[Patient ID]],tblIPD[Patient id.],tblIPD[Patient id.],"")&lt;&gt;"","Admitted (IPD)",IF(_xlfn.XLOOKUP(Tbl.PatRec[[#This Row],[Patient ID]],tblOPD[Patient id.],tblOPD[Patient id.],"")&lt;&gt;"","Active OPD","Registered"))</f>
        <v>Admitted (IPD)</v>
      </c>
      <c r="M5" s="2" t="str">
        <f>IF(AND(_xlfn.XLOOKUP(Tbl.PatRec[[#This Row],[Patient ID]],tblIPD[Patient id.],tblIPD[Patient id.],"")&lt;&gt;"",_xlfn.XLOOKUP(Tbl.PatRec[[#This Row],[Patient ID]],tblOPD[Patient id.],tblOPD[Patient id.],"")&lt;&gt;""),"OPD → IPD Transition","")</f>
        <v/>
      </c>
      <c r="N5" s="2"/>
      <c r="O5" s="2">
        <f>IFERROR(IF(Tbl.PatRec[[#This Row],[Current Condition]]="Admitted (IPD)",_xlfn.XLOOKUP(Tbl.PatRec[[#This Row],[Patient ID]],tblIPD[Patient id.],tblIPD[Net amount],""),IF(Tbl.PatRec[[#This Row],[Current Condition]]="Active OPD",_xlfn.XLOOKUP(Tbl.PatRec[[#This Row],[Patient ID]],tblOPD[Patient id.],tblOPD[Net amount],""),"")),"")</f>
        <v>21090</v>
      </c>
      <c r="P5" s="2" t="s">
        <v>106</v>
      </c>
    </row>
    <row r="6" spans="1:16" x14ac:dyDescent="0.35">
      <c r="A6" s="2" t="s">
        <v>61</v>
      </c>
      <c r="B6" s="2" t="s">
        <v>2</v>
      </c>
      <c r="C6" s="7">
        <v>28433</v>
      </c>
      <c r="D6" s="2">
        <f t="shared" ref="D6:D14" ca="1" si="0">IF(C6="","",DATEDIF(C6,TODAY(),"Y"))</f>
        <v>48</v>
      </c>
      <c r="E6" s="2" t="s">
        <v>22</v>
      </c>
      <c r="F6" s="7">
        <v>44025</v>
      </c>
      <c r="G6" s="2" t="s">
        <v>24</v>
      </c>
      <c r="H6" s="2" t="s">
        <v>24</v>
      </c>
      <c r="I6" s="2" t="s">
        <v>36</v>
      </c>
      <c r="J6" s="2" t="s">
        <v>44</v>
      </c>
      <c r="K6" s="2" t="s">
        <v>58</v>
      </c>
      <c r="L6" s="2" t="str">
        <f>IF(_xlfn.XLOOKUP(Tbl.PatRec[[#This Row],[Patient ID]],tblIPD[Patient id.],tblIPD[Patient id.],"")&lt;&gt;"","Admitted (IPD)",IF(_xlfn.XLOOKUP(Tbl.PatRec[[#This Row],[Patient ID]],tblOPD[Patient id.],tblOPD[Patient id.],"")&lt;&gt;"","Active OPD","Registered"))</f>
        <v>Active OPD</v>
      </c>
      <c r="M6" s="2" t="str">
        <f>IF(AND(_xlfn.XLOOKUP(Tbl.PatRec[[#This Row],[Patient ID]],tblIPD[Patient id.],tblIPD[Patient id.],"")&lt;&gt;"",_xlfn.XLOOKUP(Tbl.PatRec[[#This Row],[Patient ID]],tblOPD[Patient id.],tblOPD[Patient id.],"")&lt;&gt;""),"OPD → IPD Transition","")</f>
        <v/>
      </c>
      <c r="N6" s="2" t="s">
        <v>86</v>
      </c>
      <c r="O6" s="2" t="str">
        <f>IFERROR(IF(Tbl.PatRec[[#This Row],[Current Condition]]="Admitted (IPD)",_xlfn.XLOOKUP(Tbl.PatRec[[#This Row],[Patient ID]],tblIPD[Patient id.],tblIPD[Net amount],""),IF(Tbl.PatRec[[#This Row],[Current Condition]]="Active OPD",_xlfn.XLOOKUP(Tbl.PatRec[[#This Row],[Patient ID]],tblOPD[Patient id.],tblOPD[Net amount],""),"")),"")</f>
        <v/>
      </c>
      <c r="P6" s="2"/>
    </row>
    <row r="7" spans="1:16" x14ac:dyDescent="0.35">
      <c r="A7" s="2" t="s">
        <v>62</v>
      </c>
      <c r="B7" s="2" t="s">
        <v>3</v>
      </c>
      <c r="C7" s="7">
        <v>35392</v>
      </c>
      <c r="D7" s="2">
        <f t="shared" ca="1" si="0"/>
        <v>29</v>
      </c>
      <c r="E7" s="2" t="s">
        <v>22</v>
      </c>
      <c r="F7" s="7">
        <v>45116</v>
      </c>
      <c r="G7" s="2" t="s">
        <v>24</v>
      </c>
      <c r="H7" s="2" t="s">
        <v>24</v>
      </c>
      <c r="I7" s="2" t="s">
        <v>35</v>
      </c>
      <c r="J7" s="2" t="s">
        <v>41</v>
      </c>
      <c r="K7" s="2" t="s">
        <v>58</v>
      </c>
      <c r="L7" s="2" t="str">
        <f>IF(_xlfn.XLOOKUP(Tbl.PatRec[[#This Row],[Patient ID]],tblIPD[Patient id.],tblIPD[Patient id.],"")&lt;&gt;"","Admitted (IPD)",IF(_xlfn.XLOOKUP(Tbl.PatRec[[#This Row],[Patient ID]],tblOPD[Patient id.],tblOPD[Patient id.],"")&lt;&gt;"","Active OPD","Registered"))</f>
        <v>Active OPD</v>
      </c>
      <c r="M7" s="2" t="str">
        <f>IF(AND(_xlfn.XLOOKUP(Tbl.PatRec[[#This Row],[Patient ID]],tblIPD[Patient id.],tblIPD[Patient id.],"")&lt;&gt;"",_xlfn.XLOOKUP(Tbl.PatRec[[#This Row],[Patient ID]],tblOPD[Patient id.],tblOPD[Patient id.],"")&lt;&gt;""),"OPD → IPD Transition","")</f>
        <v/>
      </c>
      <c r="N7" s="2"/>
      <c r="O7" s="2" t="str">
        <f>IFERROR(IF(Tbl.PatRec[[#This Row],[Current Condition]]="Admitted (IPD)",_xlfn.XLOOKUP(Tbl.PatRec[[#This Row],[Patient ID]],tblIPD[Patient id.],tblIPD[Net amount],""),IF(Tbl.PatRec[[#This Row],[Current Condition]]="Active OPD",_xlfn.XLOOKUP(Tbl.PatRec[[#This Row],[Patient ID]],tblOPD[Patient id.],tblOPD[Net amount],""),"")),"")</f>
        <v/>
      </c>
      <c r="P7" s="2"/>
    </row>
    <row r="8" spans="1:16" x14ac:dyDescent="0.35">
      <c r="A8" s="2" t="s">
        <v>63</v>
      </c>
      <c r="B8" s="2" t="s">
        <v>4</v>
      </c>
      <c r="C8" s="7">
        <v>35089</v>
      </c>
      <c r="D8" s="2">
        <f t="shared" ca="1" si="0"/>
        <v>29</v>
      </c>
      <c r="E8" s="2" t="s">
        <v>23</v>
      </c>
      <c r="F8" s="7">
        <v>44618</v>
      </c>
      <c r="G8" s="2" t="s">
        <v>24</v>
      </c>
      <c r="H8" s="2" t="s">
        <v>24</v>
      </c>
      <c r="I8" s="2" t="s">
        <v>36</v>
      </c>
      <c r="J8" s="2" t="s">
        <v>37</v>
      </c>
      <c r="K8" s="2" t="s">
        <v>57</v>
      </c>
      <c r="L8" s="2" t="str">
        <f>IF(_xlfn.XLOOKUP(Tbl.PatRec[[#This Row],[Patient ID]],tblIPD[Patient id.],tblIPD[Patient id.],"")&lt;&gt;"","Admitted (IPD)",IF(_xlfn.XLOOKUP(Tbl.PatRec[[#This Row],[Patient ID]],tblOPD[Patient id.],tblOPD[Patient id.],"")&lt;&gt;"","Active OPD","Registered"))</f>
        <v>Admitted (IPD)</v>
      </c>
      <c r="M8" s="2" t="str">
        <f>IF(AND(_xlfn.XLOOKUP(Tbl.PatRec[[#This Row],[Patient ID]],tblIPD[Patient id.],tblIPD[Patient id.],"")&lt;&gt;"",_xlfn.XLOOKUP(Tbl.PatRec[[#This Row],[Patient ID]],tblOPD[Patient id.],tblOPD[Patient id.],"")&lt;&gt;""),"OPD → IPD Transition","")</f>
        <v/>
      </c>
      <c r="N8" s="2"/>
      <c r="O8" s="2">
        <f>IFERROR(IF(Tbl.PatRec[[#This Row],[Current Condition]]="Admitted (IPD)",_xlfn.XLOOKUP(Tbl.PatRec[[#This Row],[Patient ID]],tblIPD[Patient id.],tblIPD[Net amount],""),IF(Tbl.PatRec[[#This Row],[Current Condition]]="Active OPD",_xlfn.XLOOKUP(Tbl.PatRec[[#This Row],[Patient ID]],tblOPD[Patient id.],tblOPD[Net amount],""),"")),"")</f>
        <v>31635</v>
      </c>
      <c r="P8" s="2"/>
    </row>
    <row r="9" spans="1:16" x14ac:dyDescent="0.35">
      <c r="A9" s="2" t="s">
        <v>64</v>
      </c>
      <c r="B9" s="2" t="s">
        <v>5</v>
      </c>
      <c r="C9" s="7">
        <v>27320</v>
      </c>
      <c r="D9" s="2">
        <f t="shared" ca="1" si="0"/>
        <v>51</v>
      </c>
      <c r="E9" s="2" t="s">
        <v>22</v>
      </c>
      <c r="F9" s="7">
        <v>45548</v>
      </c>
      <c r="G9" s="2" t="s">
        <v>24</v>
      </c>
      <c r="H9" s="2" t="s">
        <v>24</v>
      </c>
      <c r="I9" s="2" t="s">
        <v>35</v>
      </c>
      <c r="J9" s="2" t="s">
        <v>41</v>
      </c>
      <c r="K9" s="2" t="s">
        <v>57</v>
      </c>
      <c r="L9" s="2" t="str">
        <f>IF(_xlfn.XLOOKUP(Tbl.PatRec[[#This Row],[Patient ID]],tblIPD[Patient id.],tblIPD[Patient id.],"")&lt;&gt;"","Admitted (IPD)",IF(_xlfn.XLOOKUP(Tbl.PatRec[[#This Row],[Patient ID]],tblOPD[Patient id.],tblOPD[Patient id.],"")&lt;&gt;"","Active OPD","Registered"))</f>
        <v>Admitted (IPD)</v>
      </c>
      <c r="M9" s="2" t="str">
        <f>IF(AND(_xlfn.XLOOKUP(Tbl.PatRec[[#This Row],[Patient ID]],tblIPD[Patient id.],tblIPD[Patient id.],"")&lt;&gt;"",_xlfn.XLOOKUP(Tbl.PatRec[[#This Row],[Patient ID]],tblOPD[Patient id.],tblOPD[Patient id.],"")&lt;&gt;""),"OPD → IPD Transition","")</f>
        <v/>
      </c>
      <c r="N9" s="2"/>
      <c r="O9" s="2">
        <f>IFERROR(IF(Tbl.PatRec[[#This Row],[Current Condition]]="Admitted (IPD)",_xlfn.XLOOKUP(Tbl.PatRec[[#This Row],[Patient ID]],tblIPD[Patient id.],tblIPD[Net amount],""),IF(Tbl.PatRec[[#This Row],[Current Condition]]="Active OPD",_xlfn.XLOOKUP(Tbl.PatRec[[#This Row],[Patient ID]],tblOPD[Patient id.],tblOPD[Net amount],""),"")),"")</f>
        <v>59520</v>
      </c>
      <c r="P9" s="2"/>
    </row>
    <row r="10" spans="1:16" x14ac:dyDescent="0.35">
      <c r="A10" s="2" t="s">
        <v>65</v>
      </c>
      <c r="B10" s="2" t="s">
        <v>6</v>
      </c>
      <c r="C10" s="7">
        <v>30494</v>
      </c>
      <c r="D10" s="2">
        <f t="shared" ca="1" si="0"/>
        <v>42</v>
      </c>
      <c r="E10" s="2" t="s">
        <v>23</v>
      </c>
      <c r="F10" s="7">
        <v>45165</v>
      </c>
      <c r="G10" s="2" t="s">
        <v>24</v>
      </c>
      <c r="H10" s="2" t="s">
        <v>24</v>
      </c>
      <c r="I10" s="2" t="s">
        <v>36</v>
      </c>
      <c r="J10" s="2" t="s">
        <v>47</v>
      </c>
      <c r="K10" s="2" t="s">
        <v>57</v>
      </c>
      <c r="L10" s="2" t="str">
        <f>IF(_xlfn.XLOOKUP(Tbl.PatRec[[#This Row],[Patient ID]],tblIPD[Patient id.],tblIPD[Patient id.],"")&lt;&gt;"","Admitted (IPD)",IF(_xlfn.XLOOKUP(Tbl.PatRec[[#This Row],[Patient ID]],tblOPD[Patient id.],tblOPD[Patient id.],"")&lt;&gt;"","Active OPD","Registered"))</f>
        <v>Active OPD</v>
      </c>
      <c r="M10" s="2" t="str">
        <f>IF(AND(_xlfn.XLOOKUP(Tbl.PatRec[[#This Row],[Patient ID]],tblIPD[Patient id.],tblIPD[Patient id.],"")&lt;&gt;"",_xlfn.XLOOKUP(Tbl.PatRec[[#This Row],[Patient ID]],tblOPD[Patient id.],tblOPD[Patient id.],"")&lt;&gt;""),"OPD → IPD Transition","")</f>
        <v/>
      </c>
      <c r="N10" s="2" t="s">
        <v>87</v>
      </c>
      <c r="O10" s="2">
        <f>IFERROR(IF(Tbl.PatRec[[#This Row],[Current Condition]]="Admitted (IPD)",_xlfn.XLOOKUP(Tbl.PatRec[[#This Row],[Patient ID]],tblIPD[Patient id.],tblIPD[Net amount],""),IF(Tbl.PatRec[[#This Row],[Current Condition]]="Active OPD",_xlfn.XLOOKUP(Tbl.PatRec[[#This Row],[Patient ID]],tblOPD[Patient id.],tblOPD[Net amount],""),"")),"")</f>
        <v>950</v>
      </c>
      <c r="P10" s="2"/>
    </row>
    <row r="11" spans="1:16" x14ac:dyDescent="0.35">
      <c r="A11" s="2" t="s">
        <v>66</v>
      </c>
      <c r="B11" s="2" t="s">
        <v>7</v>
      </c>
      <c r="C11" s="7">
        <v>39620</v>
      </c>
      <c r="D11" s="2">
        <f t="shared" ca="1" si="0"/>
        <v>17</v>
      </c>
      <c r="E11" s="2" t="s">
        <v>23</v>
      </c>
      <c r="F11" s="7">
        <v>44990</v>
      </c>
      <c r="G11" s="2" t="s">
        <v>24</v>
      </c>
      <c r="H11" s="2" t="s">
        <v>24</v>
      </c>
      <c r="I11" s="2" t="s">
        <v>35</v>
      </c>
      <c r="J11" s="2" t="s">
        <v>44</v>
      </c>
      <c r="K11" s="2" t="s">
        <v>58</v>
      </c>
      <c r="L11" s="2" t="str">
        <f>IF(_xlfn.XLOOKUP(Tbl.PatRec[[#This Row],[Patient ID]],tblIPD[Patient id.],tblIPD[Patient id.],"")&lt;&gt;"","Admitted (IPD)",IF(_xlfn.XLOOKUP(Tbl.PatRec[[#This Row],[Patient ID]],tblOPD[Patient id.],tblOPD[Patient id.],"")&lt;&gt;"","Active OPD","Registered"))</f>
        <v>Admitted (IPD)</v>
      </c>
      <c r="M11" s="2" t="str">
        <f>IF(AND(_xlfn.XLOOKUP(Tbl.PatRec[[#This Row],[Patient ID]],tblIPD[Patient id.],tblIPD[Patient id.],"")&lt;&gt;"",_xlfn.XLOOKUP(Tbl.PatRec[[#This Row],[Patient ID]],tblOPD[Patient id.],tblOPD[Patient id.],"")&lt;&gt;""),"OPD → IPD Transition","")</f>
        <v/>
      </c>
      <c r="N11" s="2"/>
      <c r="O11" s="2">
        <f>IFERROR(IF(Tbl.PatRec[[#This Row],[Current Condition]]="Admitted (IPD)",_xlfn.XLOOKUP(Tbl.PatRec[[#This Row],[Patient ID]],tblIPD[Patient id.],tblIPD[Net amount],""),IF(Tbl.PatRec[[#This Row],[Current Condition]]="Active OPD",_xlfn.XLOOKUP(Tbl.PatRec[[#This Row],[Patient ID]],tblOPD[Patient id.],tblOPD[Net amount],""),"")),"")</f>
        <v>409768</v>
      </c>
      <c r="P11" s="2"/>
    </row>
    <row r="12" spans="1:16" x14ac:dyDescent="0.35">
      <c r="A12" s="2" t="s">
        <v>67</v>
      </c>
      <c r="B12" s="2" t="s">
        <v>8</v>
      </c>
      <c r="C12" s="7">
        <v>30970</v>
      </c>
      <c r="D12" s="2">
        <f t="shared" ca="1" si="0"/>
        <v>41</v>
      </c>
      <c r="E12" s="2" t="s">
        <v>23</v>
      </c>
      <c r="F12" s="7">
        <v>44882</v>
      </c>
      <c r="G12" s="2" t="s">
        <v>24</v>
      </c>
      <c r="H12" s="2" t="s">
        <v>24</v>
      </c>
      <c r="I12" s="2" t="s">
        <v>36</v>
      </c>
      <c r="J12" s="2" t="s">
        <v>47</v>
      </c>
      <c r="K12" s="2" t="s">
        <v>58</v>
      </c>
      <c r="L12" s="2" t="str">
        <f>IF(_xlfn.XLOOKUP(Tbl.PatRec[[#This Row],[Patient ID]],tblIPD[Patient id.],tblIPD[Patient id.],"")&lt;&gt;"","Admitted (IPD)",IF(_xlfn.XLOOKUP(Tbl.PatRec[[#This Row],[Patient ID]],tblOPD[Patient id.],tblOPD[Patient id.],"")&lt;&gt;"","Active OPD","Registered"))</f>
        <v>Admitted (IPD)</v>
      </c>
      <c r="M12" s="2" t="str">
        <f>IF(AND(_xlfn.XLOOKUP(Tbl.PatRec[[#This Row],[Patient ID]],tblIPD[Patient id.],tblIPD[Patient id.],"")&lt;&gt;"",_xlfn.XLOOKUP(Tbl.PatRec[[#This Row],[Patient ID]],tblOPD[Patient id.],tblOPD[Patient id.],"")&lt;&gt;""),"OPD → IPD Transition","")</f>
        <v>OPD → IPD Transition</v>
      </c>
      <c r="N12" s="2"/>
      <c r="O12" s="2" t="str">
        <f>IFERROR(IF(Tbl.PatRec[[#This Row],[Current Condition]]="Admitted (IPD)",_xlfn.XLOOKUP(Tbl.PatRec[[#This Row],[Patient ID]],tblIPD[Patient id.],tblIPD[Net amount],""),IF(Tbl.PatRec[[#This Row],[Current Condition]]="Active OPD",_xlfn.XLOOKUP(Tbl.PatRec[[#This Row],[Patient ID]],tblOPD[Patient id.],tblOPD[Net amount],""),"")),"")</f>
        <v/>
      </c>
      <c r="P12" s="2"/>
    </row>
    <row r="13" spans="1:16" x14ac:dyDescent="0.35">
      <c r="A13" s="2" t="s">
        <v>68</v>
      </c>
      <c r="B13" s="2" t="s">
        <v>9</v>
      </c>
      <c r="C13" s="7">
        <v>31976</v>
      </c>
      <c r="D13" s="2">
        <f t="shared" ca="1" si="0"/>
        <v>38</v>
      </c>
      <c r="E13" s="2" t="s">
        <v>22</v>
      </c>
      <c r="F13" s="7">
        <v>44042</v>
      </c>
      <c r="G13" s="2" t="s">
        <v>24</v>
      </c>
      <c r="H13" s="2" t="s">
        <v>24</v>
      </c>
      <c r="I13" s="2" t="s">
        <v>35</v>
      </c>
      <c r="J13" s="2" t="s">
        <v>41</v>
      </c>
      <c r="K13" s="2" t="s">
        <v>58</v>
      </c>
      <c r="L13" s="2" t="str">
        <f>IF(_xlfn.XLOOKUP(Tbl.PatRec[[#This Row],[Patient ID]],tblIPD[Patient id.],tblIPD[Patient id.],"")&lt;&gt;"","Admitted (IPD)",IF(_xlfn.XLOOKUP(Tbl.PatRec[[#This Row],[Patient ID]],tblOPD[Patient id.],tblOPD[Patient id.],"")&lt;&gt;"","Active OPD","Registered"))</f>
        <v>Admitted (IPD)</v>
      </c>
      <c r="M13" s="2" t="str">
        <f>IF(AND(_xlfn.XLOOKUP(Tbl.PatRec[[#This Row],[Patient ID]],tblIPD[Patient id.],tblIPD[Patient id.],"")&lt;&gt;"",_xlfn.XLOOKUP(Tbl.PatRec[[#This Row],[Patient ID]],tblOPD[Patient id.],tblOPD[Patient id.],"")&lt;&gt;""),"OPD → IPD Transition","")</f>
        <v/>
      </c>
      <c r="N13" s="2"/>
      <c r="O13" s="2">
        <f>IFERROR(IF(Tbl.PatRec[[#This Row],[Current Condition]]="Admitted (IPD)",_xlfn.XLOOKUP(Tbl.PatRec[[#This Row],[Patient ID]],tblIPD[Patient id.],tblIPD[Net amount],""),IF(Tbl.PatRec[[#This Row],[Current Condition]]="Active OPD",_xlfn.XLOOKUP(Tbl.PatRec[[#This Row],[Patient ID]],tblOPD[Patient id.],tblOPD[Net amount],""),"")),"")</f>
        <v>178920</v>
      </c>
      <c r="P13" s="2"/>
    </row>
    <row r="14" spans="1:16" x14ac:dyDescent="0.35">
      <c r="A14" s="2" t="s">
        <v>69</v>
      </c>
      <c r="B14" s="2" t="s">
        <v>10</v>
      </c>
      <c r="C14" s="7">
        <v>29791</v>
      </c>
      <c r="D14" s="2">
        <f t="shared" ca="1" si="0"/>
        <v>44</v>
      </c>
      <c r="E14" s="2" t="s">
        <v>23</v>
      </c>
      <c r="F14" s="7">
        <v>45212</v>
      </c>
      <c r="G14" s="2" t="s">
        <v>24</v>
      </c>
      <c r="H14" s="2" t="s">
        <v>24</v>
      </c>
      <c r="I14" s="2" t="s">
        <v>36</v>
      </c>
      <c r="J14" s="2" t="s">
        <v>41</v>
      </c>
      <c r="K14" s="2" t="s">
        <v>58</v>
      </c>
      <c r="L14" s="2" t="str">
        <f>IF(_xlfn.XLOOKUP(Tbl.PatRec[[#This Row],[Patient ID]],tblIPD[Patient id.],tblIPD[Patient id.],"")&lt;&gt;"","Admitted (IPD)",IF(_xlfn.XLOOKUP(Tbl.PatRec[[#This Row],[Patient ID]],tblOPD[Patient id.],tblOPD[Patient id.],"")&lt;&gt;"","Active OPD","Registered"))</f>
        <v>Active OPD</v>
      </c>
      <c r="M14" s="2" t="str">
        <f>IF(AND(_xlfn.XLOOKUP(Tbl.PatRec[[#This Row],[Patient ID]],tblIPD[Patient id.],tblIPD[Patient id.],"")&lt;&gt;"",_xlfn.XLOOKUP(Tbl.PatRec[[#This Row],[Patient ID]],tblOPD[Patient id.],tblOPD[Patient id.],"")&lt;&gt;""),"OPD → IPD Transition","")</f>
        <v/>
      </c>
      <c r="N14" s="2"/>
      <c r="O14" s="2">
        <f>IFERROR(IF(Tbl.PatRec[[#This Row],[Current Condition]]="Admitted (IPD)",_xlfn.XLOOKUP(Tbl.PatRec[[#This Row],[Patient ID]],tblIPD[Patient id.],tblIPD[Net amount],""),IF(Tbl.PatRec[[#This Row],[Current Condition]]="Active OPD",_xlfn.XLOOKUP(Tbl.PatRec[[#This Row],[Patient ID]],tblOPD[Patient id.],tblOPD[Net amount],""),"")),"")</f>
        <v>2300</v>
      </c>
      <c r="P14" s="2"/>
    </row>
    <row r="15" spans="1:16" x14ac:dyDescent="0.35">
      <c r="A15" s="2" t="s">
        <v>139</v>
      </c>
      <c r="B15" s="2" t="s">
        <v>11</v>
      </c>
      <c r="C15" s="7">
        <v>35457</v>
      </c>
      <c r="D15" s="2">
        <f t="shared" ref="D15:D24" ca="1" si="1">IF(C15="","",DATEDIF(C15,TODAY(),"Y"))</f>
        <v>28</v>
      </c>
      <c r="E15" s="2" t="s">
        <v>22</v>
      </c>
      <c r="F15" s="7">
        <v>44047</v>
      </c>
      <c r="G15" s="2" t="s">
        <v>24</v>
      </c>
      <c r="H15" s="2" t="s">
        <v>24</v>
      </c>
      <c r="I15" s="2" t="s">
        <v>35</v>
      </c>
      <c r="J15" s="2" t="s">
        <v>38</v>
      </c>
      <c r="K15" s="2" t="s">
        <v>57</v>
      </c>
      <c r="L15" s="2" t="str">
        <f>IF(_xlfn.XLOOKUP(Tbl.PatRec[[#This Row],[Patient ID]],tblIPD[Patient id.],tblIPD[Patient id.],"")&lt;&gt;"","Admitted (IPD)",IF(_xlfn.XLOOKUP(Tbl.PatRec[[#This Row],[Patient ID]],tblOPD[Patient id.],tblOPD[Patient id.],"")&lt;&gt;"","Active OPD","Registered"))</f>
        <v>Admitted (IPD)</v>
      </c>
      <c r="M15" s="2" t="str">
        <f>IF(AND(_xlfn.XLOOKUP(Tbl.PatRec[[#This Row],[Patient ID]],tblIPD[Patient id.],tblIPD[Patient id.],"")&lt;&gt;"",_xlfn.XLOOKUP(Tbl.PatRec[[#This Row],[Patient ID]],tblOPD[Patient id.],tblOPD[Patient id.],"")&lt;&gt;""),"OPD → IPD Transition","")</f>
        <v/>
      </c>
      <c r="N15" s="2"/>
      <c r="O15" s="2">
        <f>IFERROR(IF(Tbl.PatRec[[#This Row],[Current Condition]]="Admitted (IPD)",_xlfn.XLOOKUP(Tbl.PatRec[[#This Row],[Patient ID]],tblIPD[Patient id.],tblIPD[Net amount],""),IF(Tbl.PatRec[[#This Row],[Current Condition]]="Active OPD",_xlfn.XLOOKUP(Tbl.PatRec[[#This Row],[Patient ID]],tblOPD[Patient id.],tblOPD[Net amount],""),"")),"")</f>
        <v>115020</v>
      </c>
      <c r="P15" s="2"/>
    </row>
    <row r="16" spans="1:16" x14ac:dyDescent="0.35">
      <c r="A16" s="2" t="s">
        <v>140</v>
      </c>
      <c r="B16" s="2" t="s">
        <v>12</v>
      </c>
      <c r="C16" s="7">
        <v>22998</v>
      </c>
      <c r="D16" s="2">
        <f t="shared" ca="1" si="1"/>
        <v>63</v>
      </c>
      <c r="E16" s="2" t="s">
        <v>22</v>
      </c>
      <c r="F16" s="7">
        <v>44024</v>
      </c>
      <c r="G16" s="2" t="s">
        <v>24</v>
      </c>
      <c r="H16" s="2" t="s">
        <v>24</v>
      </c>
      <c r="I16" s="2" t="s">
        <v>36</v>
      </c>
      <c r="J16" s="2" t="s">
        <v>44</v>
      </c>
      <c r="K16" s="2" t="s">
        <v>57</v>
      </c>
      <c r="L16" s="2" t="str">
        <f>IF(_xlfn.XLOOKUP(Tbl.PatRec[[#This Row],[Patient ID]],tblIPD[Patient id.],tblIPD[Patient id.],"")&lt;&gt;"","Admitted (IPD)",IF(_xlfn.XLOOKUP(Tbl.PatRec[[#This Row],[Patient ID]],tblOPD[Patient id.],tblOPD[Patient id.],"")&lt;&gt;"","Active OPD","Registered"))</f>
        <v>Active OPD</v>
      </c>
      <c r="M16" s="2" t="str">
        <f>IF(AND(_xlfn.XLOOKUP(Tbl.PatRec[[#This Row],[Patient ID]],tblIPD[Patient id.],tblIPD[Patient id.],"")&lt;&gt;"",_xlfn.XLOOKUP(Tbl.PatRec[[#This Row],[Patient ID]],tblOPD[Patient id.],tblOPD[Patient id.],"")&lt;&gt;""),"OPD → IPD Transition","")</f>
        <v/>
      </c>
      <c r="N16" s="2"/>
      <c r="O16" s="2">
        <f>IFERROR(IF(Tbl.PatRec[[#This Row],[Current Condition]]="Admitted (IPD)",_xlfn.XLOOKUP(Tbl.PatRec[[#This Row],[Patient ID]],tblIPD[Patient id.],tblIPD[Net amount],""),IF(Tbl.PatRec[[#This Row],[Current Condition]]="Active OPD",_xlfn.XLOOKUP(Tbl.PatRec[[#This Row],[Patient ID]],tblOPD[Patient id.],tblOPD[Net amount],""),"")),"")</f>
        <v>1900</v>
      </c>
      <c r="P16" s="2"/>
    </row>
    <row r="17" spans="1:16" x14ac:dyDescent="0.35">
      <c r="A17" s="2" t="s">
        <v>141</v>
      </c>
      <c r="B17" s="2" t="s">
        <v>13</v>
      </c>
      <c r="C17" s="7">
        <v>39722</v>
      </c>
      <c r="D17" s="2">
        <f t="shared" ca="1" si="1"/>
        <v>17</v>
      </c>
      <c r="E17" s="2" t="s">
        <v>23</v>
      </c>
      <c r="F17" s="7">
        <v>43976</v>
      </c>
      <c r="G17" s="2" t="s">
        <v>24</v>
      </c>
      <c r="H17" s="2" t="s">
        <v>24</v>
      </c>
      <c r="I17" s="2" t="s">
        <v>35</v>
      </c>
      <c r="J17" s="2" t="s">
        <v>41</v>
      </c>
      <c r="K17" s="2" t="s">
        <v>57</v>
      </c>
      <c r="L17" s="2" t="str">
        <f>IF(_xlfn.XLOOKUP(Tbl.PatRec[[#This Row],[Patient ID]],tblIPD[Patient id.],tblIPD[Patient id.],"")&lt;&gt;"","Admitted (IPD)",IF(_xlfn.XLOOKUP(Tbl.PatRec[[#This Row],[Patient ID]],tblOPD[Patient id.],tblOPD[Patient id.],"")&lt;&gt;"","Active OPD","Registered"))</f>
        <v>Admitted (IPD)</v>
      </c>
      <c r="M17" s="2" t="str">
        <f>IF(AND(_xlfn.XLOOKUP(Tbl.PatRec[[#This Row],[Patient ID]],tblIPD[Patient id.],tblIPD[Patient id.],"")&lt;&gt;"",_xlfn.XLOOKUP(Tbl.PatRec[[#This Row],[Patient ID]],tblOPD[Patient id.],tblOPD[Patient id.],"")&lt;&gt;""),"OPD → IPD Transition","")</f>
        <v/>
      </c>
      <c r="N17" s="2"/>
      <c r="O17" s="2">
        <f>IFERROR(IF(Tbl.PatRec[[#This Row],[Current Condition]]="Admitted (IPD)",_xlfn.XLOOKUP(Tbl.PatRec[[#This Row],[Patient ID]],tblIPD[Patient id.],tblIPD[Net amount],""),IF(Tbl.PatRec[[#This Row],[Current Condition]]="Active OPD",_xlfn.XLOOKUP(Tbl.PatRec[[#This Row],[Patient ID]],tblOPD[Patient id.],tblOPD[Net amount],""),"")),"")</f>
        <v>28120</v>
      </c>
      <c r="P17" s="2"/>
    </row>
    <row r="18" spans="1:16" x14ac:dyDescent="0.35">
      <c r="A18" s="2" t="s">
        <v>142</v>
      </c>
      <c r="B18" s="2" t="s">
        <v>14</v>
      </c>
      <c r="C18" s="7">
        <v>26673</v>
      </c>
      <c r="D18" s="2">
        <f t="shared" ca="1" si="1"/>
        <v>52</v>
      </c>
      <c r="E18" s="2" t="s">
        <v>22</v>
      </c>
      <c r="F18" s="7">
        <v>45108</v>
      </c>
      <c r="G18" s="2" t="s">
        <v>24</v>
      </c>
      <c r="H18" s="2" t="s">
        <v>24</v>
      </c>
      <c r="I18" s="2" t="s">
        <v>36</v>
      </c>
      <c r="J18" s="2" t="s">
        <v>37</v>
      </c>
      <c r="K18" s="2" t="s">
        <v>57</v>
      </c>
      <c r="L18" s="2" t="str">
        <f>IF(_xlfn.XLOOKUP(Tbl.PatRec[[#This Row],[Patient ID]],tblIPD[Patient id.],tblIPD[Patient id.],"")&lt;&gt;"","Admitted (IPD)",IF(_xlfn.XLOOKUP(Tbl.PatRec[[#This Row],[Patient ID]],tblOPD[Patient id.],tblOPD[Patient id.],"")&lt;&gt;"","Active OPD","Registered"))</f>
        <v>Admitted (IPD)</v>
      </c>
      <c r="M18" s="2" t="str">
        <f>IF(AND(_xlfn.XLOOKUP(Tbl.PatRec[[#This Row],[Patient ID]],tblIPD[Patient id.],tblIPD[Patient id.],"")&lt;&gt;"",_xlfn.XLOOKUP(Tbl.PatRec[[#This Row],[Patient ID]],tblOPD[Patient id.],tblOPD[Patient id.],"")&lt;&gt;""),"OPD → IPD Transition","")</f>
        <v>OPD → IPD Transition</v>
      </c>
      <c r="N18" s="2"/>
      <c r="O18" s="2" t="str">
        <f>IFERROR(IF(Tbl.PatRec[[#This Row],[Current Condition]]="Admitted (IPD)",_xlfn.XLOOKUP(Tbl.PatRec[[#This Row],[Patient ID]],tblIPD[Patient id.],tblIPD[Net amount],""),IF(Tbl.PatRec[[#This Row],[Current Condition]]="Active OPD",_xlfn.XLOOKUP(Tbl.PatRec[[#This Row],[Patient ID]],tblOPD[Patient id.],tblOPD[Net amount],""),"")),"")</f>
        <v/>
      </c>
      <c r="P18" s="2"/>
    </row>
    <row r="19" spans="1:16" x14ac:dyDescent="0.35">
      <c r="A19" s="2" t="s">
        <v>143</v>
      </c>
      <c r="B19" s="2" t="s">
        <v>15</v>
      </c>
      <c r="C19" s="7">
        <v>32446</v>
      </c>
      <c r="D19" s="2">
        <f t="shared" ca="1" si="1"/>
        <v>37</v>
      </c>
      <c r="E19" s="2" t="s">
        <v>23</v>
      </c>
      <c r="F19" s="7">
        <v>44341</v>
      </c>
      <c r="G19" s="2" t="s">
        <v>24</v>
      </c>
      <c r="H19" s="2" t="s">
        <v>24</v>
      </c>
      <c r="I19" s="2" t="s">
        <v>35</v>
      </c>
      <c r="J19" s="2" t="s">
        <v>41</v>
      </c>
      <c r="K19" s="2" t="s">
        <v>57</v>
      </c>
      <c r="L19" s="2" t="str">
        <f>IF(_xlfn.XLOOKUP(Tbl.PatRec[[#This Row],[Patient ID]],tblIPD[Patient id.],tblIPD[Patient id.],"")&lt;&gt;"","Admitted (IPD)",IF(_xlfn.XLOOKUP(Tbl.PatRec[[#This Row],[Patient ID]],tblOPD[Patient id.],tblOPD[Patient id.],"")&lt;&gt;"","Active OPD","Registered"))</f>
        <v>Admitted (IPD)</v>
      </c>
      <c r="M19" s="2" t="str">
        <f>IF(AND(_xlfn.XLOOKUP(Tbl.PatRec[[#This Row],[Patient ID]],tblIPD[Patient id.],tblIPD[Patient id.],"")&lt;&gt;"",_xlfn.XLOOKUP(Tbl.PatRec[[#This Row],[Patient ID]],tblOPD[Patient id.],tblOPD[Patient id.],"")&lt;&gt;""),"OPD → IPD Transition","")</f>
        <v/>
      </c>
      <c r="N19" s="2"/>
      <c r="O19" s="2">
        <f>IFERROR(IF(Tbl.PatRec[[#This Row],[Current Condition]]="Admitted (IPD)",_xlfn.XLOOKUP(Tbl.PatRec[[#This Row],[Patient ID]],tblIPD[Patient id.],tblIPD[Net amount],""),IF(Tbl.PatRec[[#This Row],[Current Condition]]="Active OPD",_xlfn.XLOOKUP(Tbl.PatRec[[#This Row],[Patient ID]],tblOPD[Patient id.],tblOPD[Net amount],""),"")),"")</f>
        <v>477375</v>
      </c>
      <c r="P19" s="2"/>
    </row>
    <row r="20" spans="1:16" x14ac:dyDescent="0.35">
      <c r="A20" s="2" t="s">
        <v>144</v>
      </c>
      <c r="B20" s="2" t="s">
        <v>149</v>
      </c>
      <c r="C20" s="7">
        <v>39737</v>
      </c>
      <c r="D20" s="2">
        <f t="shared" ca="1" si="1"/>
        <v>17</v>
      </c>
      <c r="E20" s="2" t="s">
        <v>23</v>
      </c>
      <c r="F20" s="7">
        <v>45128</v>
      </c>
      <c r="G20" s="2" t="s">
        <v>24</v>
      </c>
      <c r="H20" s="2" t="s">
        <v>24</v>
      </c>
      <c r="I20" s="2" t="s">
        <v>36</v>
      </c>
      <c r="J20" s="2" t="s">
        <v>47</v>
      </c>
      <c r="K20" s="2" t="s">
        <v>58</v>
      </c>
      <c r="L20" s="2" t="str">
        <f>IF(_xlfn.XLOOKUP(Tbl.PatRec[[#This Row],[Patient ID]],tblIPD[Patient id.],tblIPD[Patient id.],"")&lt;&gt;"","Admitted (IPD)",IF(_xlfn.XLOOKUP(Tbl.PatRec[[#This Row],[Patient ID]],tblOPD[Patient id.],tblOPD[Patient id.],"")&lt;&gt;"","Active OPD","Registered"))</f>
        <v>Active OPD</v>
      </c>
      <c r="M20" s="2" t="str">
        <f>IF(AND(_xlfn.XLOOKUP(Tbl.PatRec[[#This Row],[Patient ID]],tblIPD[Patient id.],tblIPD[Patient id.],"")&lt;&gt;"",_xlfn.XLOOKUP(Tbl.PatRec[[#This Row],[Patient ID]],tblOPD[Patient id.],tblOPD[Patient id.],"")&lt;&gt;""),"OPD → IPD Transition","")</f>
        <v/>
      </c>
      <c r="N20" s="2"/>
      <c r="O20" s="2">
        <f>IFERROR(IF(Tbl.PatRec[[#This Row],[Current Condition]]="Admitted (IPD)",_xlfn.XLOOKUP(Tbl.PatRec[[#This Row],[Patient ID]],tblIPD[Patient id.],tblIPD[Net amount],""),IF(Tbl.PatRec[[#This Row],[Current Condition]]="Active OPD",_xlfn.XLOOKUP(Tbl.PatRec[[#This Row],[Patient ID]],tblOPD[Patient id.],tblOPD[Net amount],""),"")),"")</f>
        <v>2300</v>
      </c>
      <c r="P20" s="2"/>
    </row>
    <row r="21" spans="1:16" x14ac:dyDescent="0.35">
      <c r="A21" s="2" t="s">
        <v>145</v>
      </c>
      <c r="B21" s="2" t="s">
        <v>150</v>
      </c>
      <c r="C21" s="7">
        <v>26274</v>
      </c>
      <c r="D21" s="2">
        <f t="shared" ca="1" si="1"/>
        <v>54</v>
      </c>
      <c r="E21" s="2" t="s">
        <v>22</v>
      </c>
      <c r="F21" s="7">
        <v>44324</v>
      </c>
      <c r="G21" s="2" t="s">
        <v>24</v>
      </c>
      <c r="H21" s="2" t="s">
        <v>24</v>
      </c>
      <c r="I21" s="2" t="s">
        <v>35</v>
      </c>
      <c r="J21" s="2" t="s">
        <v>44</v>
      </c>
      <c r="K21" s="2" t="s">
        <v>57</v>
      </c>
      <c r="L21" s="2" t="str">
        <f>IF(_xlfn.XLOOKUP(Tbl.PatRec[[#This Row],[Patient ID]],tblIPD[Patient id.],tblIPD[Patient id.],"")&lt;&gt;"","Admitted (IPD)",IF(_xlfn.XLOOKUP(Tbl.PatRec[[#This Row],[Patient ID]],tblOPD[Patient id.],tblOPD[Patient id.],"")&lt;&gt;"","Active OPD","Registered"))</f>
        <v>Admitted (IPD)</v>
      </c>
      <c r="M21" s="2" t="str">
        <f>IF(AND(_xlfn.XLOOKUP(Tbl.PatRec[[#This Row],[Patient ID]],tblIPD[Patient id.],tblIPD[Patient id.],"")&lt;&gt;"",_xlfn.XLOOKUP(Tbl.PatRec[[#This Row],[Patient ID]],tblOPD[Patient id.],tblOPD[Patient id.],"")&lt;&gt;""),"OPD → IPD Transition","")</f>
        <v/>
      </c>
      <c r="N21" s="2"/>
      <c r="O21" s="2">
        <f>IFERROR(IF(Tbl.PatRec[[#This Row],[Current Condition]]="Admitted (IPD)",_xlfn.XLOOKUP(Tbl.PatRec[[#This Row],[Patient ID]],tblIPD[Patient id.],tblIPD[Net amount],""),IF(Tbl.PatRec[[#This Row],[Current Condition]]="Active OPD",_xlfn.XLOOKUP(Tbl.PatRec[[#This Row],[Patient ID]],tblOPD[Patient id.],tblOPD[Net amount],""),"")),"")</f>
        <v>21090</v>
      </c>
      <c r="P21" s="2"/>
    </row>
    <row r="22" spans="1:16" x14ac:dyDescent="0.35">
      <c r="A22" s="2" t="s">
        <v>146</v>
      </c>
      <c r="B22" s="2" t="s">
        <v>151</v>
      </c>
      <c r="C22" s="7">
        <v>37666</v>
      </c>
      <c r="D22" s="2">
        <f t="shared" ca="1" si="1"/>
        <v>22</v>
      </c>
      <c r="E22" s="2" t="s">
        <v>23</v>
      </c>
      <c r="F22" s="7">
        <v>45533</v>
      </c>
      <c r="G22" s="2" t="s">
        <v>24</v>
      </c>
      <c r="H22" s="2" t="s">
        <v>24</v>
      </c>
      <c r="I22" s="2" t="s">
        <v>36</v>
      </c>
      <c r="J22" s="2" t="s">
        <v>47</v>
      </c>
      <c r="K22" s="2" t="s">
        <v>58</v>
      </c>
      <c r="L22" s="2" t="str">
        <f>IF(_xlfn.XLOOKUP(Tbl.PatRec[[#This Row],[Patient ID]],tblIPD[Patient id.],tblIPD[Patient id.],"")&lt;&gt;"","Admitted (IPD)",IF(_xlfn.XLOOKUP(Tbl.PatRec[[#This Row],[Patient ID]],tblOPD[Patient id.],tblOPD[Patient id.],"")&lt;&gt;"","Active OPD","Registered"))</f>
        <v>Active OPD</v>
      </c>
      <c r="M22" s="2" t="str">
        <f>IF(AND(_xlfn.XLOOKUP(Tbl.PatRec[[#This Row],[Patient ID]],tblIPD[Patient id.],tblIPD[Patient id.],"")&lt;&gt;"",_xlfn.XLOOKUP(Tbl.PatRec[[#This Row],[Patient ID]],tblOPD[Patient id.],tblOPD[Patient id.],"")&lt;&gt;""),"OPD → IPD Transition","")</f>
        <v/>
      </c>
      <c r="N22" s="2"/>
      <c r="O22" s="2">
        <f>IFERROR(IF(Tbl.PatRec[[#This Row],[Current Condition]]="Admitted (IPD)",_xlfn.XLOOKUP(Tbl.PatRec[[#This Row],[Patient ID]],tblIPD[Patient id.],tblIPD[Net amount],""),IF(Tbl.PatRec[[#This Row],[Current Condition]]="Active OPD",_xlfn.XLOOKUP(Tbl.PatRec[[#This Row],[Patient ID]],tblOPD[Patient id.],tblOPD[Net amount],""),"")),"")</f>
        <v>2000</v>
      </c>
      <c r="P22" s="2"/>
    </row>
    <row r="23" spans="1:16" x14ac:dyDescent="0.35">
      <c r="A23" s="2" t="s">
        <v>147</v>
      </c>
      <c r="B23" s="2" t="s">
        <v>152</v>
      </c>
      <c r="C23" s="7">
        <v>32263</v>
      </c>
      <c r="D23" s="2">
        <f t="shared" ca="1" si="1"/>
        <v>37</v>
      </c>
      <c r="E23" s="2" t="s">
        <v>23</v>
      </c>
      <c r="F23" s="7">
        <v>44438</v>
      </c>
      <c r="G23" s="2" t="s">
        <v>24</v>
      </c>
      <c r="H23" s="2" t="s">
        <v>24</v>
      </c>
      <c r="I23" s="2" t="s">
        <v>35</v>
      </c>
      <c r="J23" s="2" t="s">
        <v>41</v>
      </c>
      <c r="K23" s="2" t="s">
        <v>58</v>
      </c>
      <c r="L23" s="2" t="str">
        <f>IF(_xlfn.XLOOKUP(Tbl.PatRec[[#This Row],[Patient ID]],tblIPD[Patient id.],tblIPD[Patient id.],"")&lt;&gt;"","Admitted (IPD)",IF(_xlfn.XLOOKUP(Tbl.PatRec[[#This Row],[Patient ID]],tblOPD[Patient id.],tblOPD[Patient id.],"")&lt;&gt;"","Active OPD","Registered"))</f>
        <v>Admitted (IPD)</v>
      </c>
      <c r="M23" s="2" t="str">
        <f>IF(AND(_xlfn.XLOOKUP(Tbl.PatRec[[#This Row],[Patient ID]],tblIPD[Patient id.],tblIPD[Patient id.],"")&lt;&gt;"",_xlfn.XLOOKUP(Tbl.PatRec[[#This Row],[Patient ID]],tblOPD[Patient id.],tblOPD[Patient id.],"")&lt;&gt;""),"OPD → IPD Transition","")</f>
        <v/>
      </c>
      <c r="N23" s="2"/>
      <c r="O23" s="2">
        <f>IFERROR(IF(Tbl.PatRec[[#This Row],[Current Condition]]="Admitted (IPD)",_xlfn.XLOOKUP(Tbl.PatRec[[#This Row],[Patient ID]],tblIPD[Patient id.],tblIPD[Net amount],""),IF(Tbl.PatRec[[#This Row],[Current Condition]]="Active OPD",_xlfn.XLOOKUP(Tbl.PatRec[[#This Row],[Patient ID]],tblOPD[Patient id.],tblOPD[Net amount],""),"")),"")</f>
        <v>59520</v>
      </c>
      <c r="P23" s="2"/>
    </row>
    <row r="24" spans="1:16" x14ac:dyDescent="0.35">
      <c r="A24" s="2" t="s">
        <v>148</v>
      </c>
      <c r="B24" s="2" t="s">
        <v>153</v>
      </c>
      <c r="C24" s="7">
        <v>33639</v>
      </c>
      <c r="D24" s="2">
        <f t="shared" ca="1" si="1"/>
        <v>33</v>
      </c>
      <c r="E24" s="2" t="s">
        <v>22</v>
      </c>
      <c r="F24" s="7">
        <v>43958</v>
      </c>
      <c r="G24" s="2" t="s">
        <v>24</v>
      </c>
      <c r="H24" s="2" t="s">
        <v>24</v>
      </c>
      <c r="I24" s="2" t="s">
        <v>36</v>
      </c>
      <c r="J24" s="2" t="s">
        <v>41</v>
      </c>
      <c r="K24" s="2" t="s">
        <v>57</v>
      </c>
      <c r="L24" s="2" t="str">
        <f>IF(_xlfn.XLOOKUP(Tbl.PatRec[[#This Row],[Patient ID]],tblIPD[Patient id.],tblIPD[Patient id.],"")&lt;&gt;"","Admitted (IPD)",IF(_xlfn.XLOOKUP(Tbl.PatRec[[#This Row],[Patient ID]],tblOPD[Patient id.],tblOPD[Patient id.],"")&lt;&gt;"","Active OPD","Registered"))</f>
        <v>Active OPD</v>
      </c>
      <c r="M24" s="2" t="str">
        <f>IF(AND(_xlfn.XLOOKUP(Tbl.PatRec[[#This Row],[Patient ID]],tblIPD[Patient id.],tblIPD[Patient id.],"")&lt;&gt;"",_xlfn.XLOOKUP(Tbl.PatRec[[#This Row],[Patient ID]],tblOPD[Patient id.],tblOPD[Patient id.],"")&lt;&gt;""),"OPD → IPD Transition","")</f>
        <v/>
      </c>
      <c r="N24" s="2"/>
      <c r="O24" s="2">
        <f>IFERROR(IF(Tbl.PatRec[[#This Row],[Current Condition]]="Admitted (IPD)",_xlfn.XLOOKUP(Tbl.PatRec[[#This Row],[Patient ID]],tblIPD[Patient id.],tblIPD[Net amount],""),IF(Tbl.PatRec[[#This Row],[Current Condition]]="Active OPD",_xlfn.XLOOKUP(Tbl.PatRec[[#This Row],[Patient ID]],tblOPD[Patient id.],tblOPD[Net amount],""),"")),"")</f>
        <v>29750</v>
      </c>
      <c r="P24" s="2"/>
    </row>
    <row r="25" spans="1:16" x14ac:dyDescent="0.35">
      <c r="K25" s="2"/>
    </row>
  </sheetData>
  <mergeCells count="1">
    <mergeCell ref="C1:H2"/>
  </mergeCells>
  <phoneticPr fontId="2" type="noConversion"/>
  <dataValidations count="6">
    <dataValidation type="list" allowBlank="1" showInputMessage="1" showErrorMessage="1" sqref="K5:K24" xr:uid="{00000000-0002-0000-0200-000000000000}">
      <formula1>"Yes, No"</formula1>
    </dataValidation>
    <dataValidation type="list" allowBlank="1" showInputMessage="1" showErrorMessage="1" sqref="L5:L24" xr:uid="{00000000-0002-0000-0200-000001000000}">
      <formula1>"Active OPD, Admitted (IPD), Registered"</formula1>
    </dataValidation>
    <dataValidation allowBlank="1" showInputMessage="1" showErrorMessage="1" sqref="L25:N1048576 J25:J1048576" xr:uid="{00000000-0002-0000-0200-000002000000}"/>
    <dataValidation type="list" allowBlank="1" showInputMessage="1" showErrorMessage="1" sqref="P5:P24" xr:uid="{00000000-0002-0000-0200-000005000000}">
      <formula1>"Paid, Unpaid"</formula1>
    </dataValidation>
    <dataValidation type="list" allowBlank="1" showInputMessage="1" showErrorMessage="1" sqref="N5:N24" xr:uid="{5EE53170-0F3C-418D-A56A-0359653DB119}">
      <formula1>"Active, Inactive"</formula1>
    </dataValidation>
    <dataValidation type="list" allowBlank="1" showInputMessage="1" showErrorMessage="1" sqref="E5:E24" xr:uid="{A73B3815-AF48-4C42-AD7E-9670A5A5D235}">
      <formula1>"Male, Female"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FA76C3-C91D-4A0F-A215-3AE340A888C1}">
          <x14:formula1>
            <xm:f>'Reference Lists'!$K$4:$K$13</xm:f>
          </x14:formula1>
          <xm:sqref>J5:J24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M14"/>
  <sheetViews>
    <sheetView tabSelected="1" topLeftCell="A2" zoomScale="130" zoomScaleNormal="130" workbookViewId="0">
      <selection activeCell="E12" sqref="E12"/>
    </sheetView>
  </sheetViews>
  <sheetFormatPr defaultRowHeight="14.5" x14ac:dyDescent="0.35"/>
  <cols>
    <col min="1" max="1" width="13.26953125" bestFit="1" customWidth="1"/>
    <col min="2" max="2" width="13" customWidth="1"/>
    <col min="3" max="3" width="12.453125" bestFit="1" customWidth="1"/>
    <col min="4" max="4" width="18.90625" bestFit="1" customWidth="1"/>
    <col min="5" max="5" width="30.453125" customWidth="1"/>
    <col min="6" max="6" width="18.453125" customWidth="1"/>
    <col min="7" max="7" width="8.81640625" customWidth="1"/>
    <col min="8" max="8" width="7.453125" customWidth="1"/>
    <col min="9" max="9" width="16.453125" bestFit="1" customWidth="1"/>
    <col min="10" max="10" width="11.54296875" bestFit="1" customWidth="1"/>
    <col min="11" max="11" width="9.453125" customWidth="1"/>
    <col min="12" max="12" width="12.1796875" customWidth="1"/>
    <col min="13" max="13" width="9.26953125" customWidth="1"/>
  </cols>
  <sheetData>
    <row r="1" spans="1:13" ht="15" customHeight="1" x14ac:dyDescent="0.35">
      <c r="F1" s="43" t="s">
        <v>137</v>
      </c>
      <c r="G1" s="43"/>
      <c r="H1" s="43"/>
    </row>
    <row r="2" spans="1:13" ht="15" customHeight="1" x14ac:dyDescent="0.35">
      <c r="F2" s="43"/>
      <c r="G2" s="43"/>
      <c r="H2" s="43"/>
    </row>
    <row r="4" spans="1:13" x14ac:dyDescent="0.35">
      <c r="A4" s="8" t="s">
        <v>51</v>
      </c>
      <c r="B4" s="8" t="s">
        <v>20</v>
      </c>
      <c r="C4" s="8" t="s">
        <v>88</v>
      </c>
      <c r="D4" s="8" t="s">
        <v>158</v>
      </c>
      <c r="E4" s="8" t="s">
        <v>48</v>
      </c>
      <c r="F4" s="8" t="s">
        <v>136</v>
      </c>
      <c r="G4" s="8" t="s">
        <v>59</v>
      </c>
      <c r="H4" s="8" t="s">
        <v>33</v>
      </c>
      <c r="I4" s="8" t="s">
        <v>54</v>
      </c>
      <c r="J4" s="8" t="s">
        <v>50</v>
      </c>
      <c r="K4" s="8" t="s">
        <v>52</v>
      </c>
      <c r="L4" s="8" t="s">
        <v>53</v>
      </c>
      <c r="M4" s="8" t="s">
        <v>49</v>
      </c>
    </row>
    <row r="5" spans="1:13" x14ac:dyDescent="0.35">
      <c r="A5" t="s">
        <v>159</v>
      </c>
      <c r="B5" t="str">
        <f>_xlfn.XLOOKUP(tblOPD[[#This Row],[Patient id.]],Tbl.PatRec[Patient ID],Tbl.PatRec[Name],"",0)</f>
        <v>Name 10</v>
      </c>
      <c r="C5" t="s">
        <v>69</v>
      </c>
      <c r="D5" t="str">
        <f>IF(_xlfn.XLOOKUP(tblOPD[[#This Row],[Patient id.]],tblIPD[Patient id.],tblIPD[Patient id.],"")&lt;&gt;"","OPD → IPD Transition","OPD")</f>
        <v>OPD</v>
      </c>
      <c r="E5" t="s">
        <v>116</v>
      </c>
      <c r="G5">
        <f>IFERROR(VLOOKUP(tblOPD[[#This Row],[Bill type ]],'Reference Lists'!$A$25:$B$38,2,FALSE)*MAX(1,tblOPD[[#This Row],[Quantity]]),"")</f>
        <v>2500</v>
      </c>
      <c r="H5" t="s">
        <v>106</v>
      </c>
      <c r="I5" t="s">
        <v>55</v>
      </c>
      <c r="J5" s="1">
        <f t="shared" ref="J5:J13" ca="1" si="0">TODAY()</f>
        <v>46027</v>
      </c>
      <c r="K5">
        <f>IFERROR((VLOOKUP(tblOPD[[#This Row],[Bill type ]],'Reference Lists'!$A$24:$D$38,4,FALSE))*tblOPD[[#This Row],[Amount]],"")</f>
        <v>200</v>
      </c>
      <c r="L5">
        <f>IFERROR(tblOPD[[#This Row],[Amount]]-tblOPD[[#This Row],[Discount]],"")</f>
        <v>2300</v>
      </c>
    </row>
    <row r="6" spans="1:13" x14ac:dyDescent="0.35">
      <c r="A6" t="s">
        <v>160</v>
      </c>
      <c r="B6" t="str">
        <f>_xlfn.XLOOKUP(tblOPD[[#This Row],[Patient id.]],Tbl.PatRec[Patient ID],Tbl.PatRec[Name],"",0)</f>
        <v>Name 6</v>
      </c>
      <c r="C6" t="s">
        <v>65</v>
      </c>
      <c r="D6" t="str">
        <f>IF(_xlfn.XLOOKUP(tblOPD[[#This Row],[Patient id.]],tblIPD[Patient id.],tblIPD[Patient id.],"")&lt;&gt;"","OPD → IPD Transition","OPD")</f>
        <v>OPD</v>
      </c>
      <c r="E6" t="s">
        <v>114</v>
      </c>
      <c r="G6">
        <f>IFERROR(VLOOKUP(tblOPD[[#This Row],[Bill type ]],'Reference Lists'!$A$25:$B$38,2,FALSE)*MAX(1,tblOPD[[#This Row],[Quantity]]),"")</f>
        <v>1000</v>
      </c>
      <c r="H6" t="s">
        <v>106</v>
      </c>
      <c r="I6" t="s">
        <v>56</v>
      </c>
      <c r="J6" s="1">
        <f t="shared" ca="1" si="0"/>
        <v>46027</v>
      </c>
      <c r="K6">
        <f>IFERROR((VLOOKUP(tblOPD[[#This Row],[Bill type ]],'Reference Lists'!$A$24:$D$38,4,FALSE))*tblOPD[[#This Row],[Amount]],"")</f>
        <v>50</v>
      </c>
      <c r="L6">
        <f>IFERROR(tblOPD[[#This Row],[Amount]]-tblOPD[[#This Row],[Discount]],"")</f>
        <v>950</v>
      </c>
    </row>
    <row r="7" spans="1:13" x14ac:dyDescent="0.35">
      <c r="A7" t="s">
        <v>161</v>
      </c>
      <c r="B7" t="str">
        <f>_xlfn.XLOOKUP(tblOPD[[#This Row],[Patient id.]],Tbl.PatRec[Patient ID],Tbl.PatRec[Name],"",0)</f>
        <v>Name 12</v>
      </c>
      <c r="C7" t="s">
        <v>140</v>
      </c>
      <c r="D7" t="str">
        <f>IF(_xlfn.XLOOKUP(tblOPD[[#This Row],[Patient id.]],tblIPD[Patient id.],tblIPD[Patient id.],"")&lt;&gt;"","OPD → IPD Transition","OPD")</f>
        <v>OPD</v>
      </c>
      <c r="E7" t="s">
        <v>121</v>
      </c>
      <c r="F7">
        <v>2</v>
      </c>
      <c r="G7">
        <f>IFERROR(VLOOKUP(tblOPD[[#This Row],[Bill type ]],'Reference Lists'!$A$25:$B$38,2,FALSE)*MAX(1,tblOPD[[#This Row],[Quantity]]),"")</f>
        <v>2000</v>
      </c>
      <c r="H7" t="s">
        <v>106</v>
      </c>
      <c r="I7" t="s">
        <v>55</v>
      </c>
      <c r="J7" s="1">
        <f t="shared" ca="1" si="0"/>
        <v>46027</v>
      </c>
      <c r="K7">
        <f>IFERROR((VLOOKUP(tblOPD[[#This Row],[Bill type ]],'Reference Lists'!$A$24:$D$38,4,FALSE))*tblOPD[[#This Row],[Amount]],"")</f>
        <v>100</v>
      </c>
      <c r="L7">
        <f>IFERROR(tblOPD[[#This Row],[Amount]]-tblOPD[[#This Row],[Discount]],"")</f>
        <v>1900</v>
      </c>
    </row>
    <row r="8" spans="1:13" x14ac:dyDescent="0.35">
      <c r="A8" t="s">
        <v>162</v>
      </c>
      <c r="B8" t="str">
        <f>_xlfn.XLOOKUP(tblOPD[[#This Row],[Patient id.]],Tbl.PatRec[Patient ID],Tbl.PatRec[Name],"",0)</f>
        <v>Name 3</v>
      </c>
      <c r="C8" t="s">
        <v>62</v>
      </c>
      <c r="D8" t="str">
        <f>IF(_xlfn.XLOOKUP(tblOPD[[#This Row],[Patient id.]],tblIPD[Patient id.],tblIPD[Patient id.],"")&lt;&gt;"","OPD → IPD Transition","OPD")</f>
        <v>OPD</v>
      </c>
      <c r="E8" t="s">
        <v>170</v>
      </c>
      <c r="G8" t="str">
        <f>IFERROR(VLOOKUP(tblOPD[[#This Row],[Bill type ]],'Reference Lists'!$A$25:$B$38,2,FALSE)*MAX(1,tblOPD[[#This Row],[Quantity]]),"")</f>
        <v/>
      </c>
      <c r="H8" t="s">
        <v>106</v>
      </c>
      <c r="I8" t="s">
        <v>56</v>
      </c>
      <c r="J8" s="1">
        <f t="shared" ca="1" si="0"/>
        <v>46027</v>
      </c>
      <c r="K8" t="str">
        <f>IFERROR((VLOOKUP(tblOPD[[#This Row],[Bill type ]],'Reference Lists'!$A$24:$D$38,4,FALSE))*tblOPD[[#This Row],[Amount]],"")</f>
        <v/>
      </c>
      <c r="L8" t="str">
        <f>IFERROR(tblOPD[[#This Row],[Amount]]-tblOPD[[#This Row],[Discount]],"")</f>
        <v/>
      </c>
    </row>
    <row r="9" spans="1:13" x14ac:dyDescent="0.35">
      <c r="A9" t="s">
        <v>163</v>
      </c>
      <c r="B9" t="str">
        <f>_xlfn.XLOOKUP(tblOPD[[#This Row],[Patient id.]],Tbl.PatRec[Patient ID],Tbl.PatRec[Name],"",0)</f>
        <v>Name 14</v>
      </c>
      <c r="C9" t="s">
        <v>142</v>
      </c>
      <c r="D9" t="str">
        <f>IF(_xlfn.XLOOKUP(tblOPD[[#This Row],[Patient id.]],tblIPD[Patient id.],tblIPD[Patient id.],"")&lt;&gt;"","OPD → IPD Transition","OPD")</f>
        <v>OPD → IPD Transition</v>
      </c>
      <c r="E9" t="s">
        <v>132</v>
      </c>
      <c r="F9">
        <v>2</v>
      </c>
      <c r="G9">
        <f>IFERROR(VLOOKUP(tblOPD[[#This Row],[Bill type ]],'Reference Lists'!$A$25:$B$38,2,FALSE)*MAX(1,tblOPD[[#This Row],[Quantity]]),"")</f>
        <v>5000</v>
      </c>
      <c r="H9" t="s">
        <v>106</v>
      </c>
      <c r="I9" t="s">
        <v>56</v>
      </c>
      <c r="J9" s="1">
        <f t="shared" ca="1" si="0"/>
        <v>46027</v>
      </c>
      <c r="K9">
        <f>IFERROR((VLOOKUP(tblOPD[[#This Row],[Bill type ]],'Reference Lists'!$A$24:$D$38,4,FALSE))*tblOPD[[#This Row],[Amount]],"")</f>
        <v>400</v>
      </c>
      <c r="L9">
        <f>IFERROR(tblOPD[[#This Row],[Amount]]-tblOPD[[#This Row],[Discount]],"")</f>
        <v>4600</v>
      </c>
    </row>
    <row r="10" spans="1:13" x14ac:dyDescent="0.35">
      <c r="A10" t="s">
        <v>164</v>
      </c>
      <c r="B10" t="str">
        <f>_xlfn.XLOOKUP(tblOPD[[#This Row],[Patient id.]],Tbl.PatRec[Patient ID],Tbl.PatRec[Name],"",0)</f>
        <v>Name 2</v>
      </c>
      <c r="C10" t="s">
        <v>61</v>
      </c>
      <c r="D10" t="str">
        <f>IF(_xlfn.XLOOKUP(tblOPD[[#This Row],[Patient id.]],tblIPD[Patient id.],tblIPD[Patient id.],"")&lt;&gt;"","OPD → IPD Transition","OPD")</f>
        <v>OPD</v>
      </c>
      <c r="E10" t="s">
        <v>171</v>
      </c>
      <c r="F10">
        <v>3</v>
      </c>
      <c r="G10" t="str">
        <f>IFERROR(VLOOKUP(tblOPD[[#This Row],[Bill type ]],'Reference Lists'!$A$25:$B$38,2,FALSE)*MAX(1,tblOPD[[#This Row],[Quantity]]),"")</f>
        <v/>
      </c>
      <c r="H10" t="s">
        <v>106</v>
      </c>
      <c r="I10" t="s">
        <v>55</v>
      </c>
      <c r="J10" s="1">
        <f t="shared" ca="1" si="0"/>
        <v>46027</v>
      </c>
      <c r="K10" t="str">
        <f>IFERROR((VLOOKUP(tblOPD[[#This Row],[Bill type ]],'Reference Lists'!$A$24:$D$38,4,FALSE))*tblOPD[[#This Row],[Amount]],"")</f>
        <v/>
      </c>
      <c r="L10" t="str">
        <f>IFERROR(tblOPD[[#This Row],[Amount]]-tblOPD[[#This Row],[Discount]],"")</f>
        <v/>
      </c>
    </row>
    <row r="11" spans="1:13" x14ac:dyDescent="0.35">
      <c r="A11" t="s">
        <v>165</v>
      </c>
      <c r="B11" t="str">
        <f>_xlfn.XLOOKUP(tblOPD[[#This Row],[Patient id.]],Tbl.PatRec[Patient ID],Tbl.PatRec[Name],"",0)</f>
        <v>Name 16</v>
      </c>
      <c r="C11" t="s">
        <v>144</v>
      </c>
      <c r="D11" t="str">
        <f>IF(_xlfn.XLOOKUP(tblOPD[[#This Row],[Patient id.]],tblIPD[Patient id.],tblIPD[Patient id.],"")&lt;&gt;"","OPD → IPD Transition","OPD")</f>
        <v>OPD</v>
      </c>
      <c r="E11" t="s">
        <v>116</v>
      </c>
      <c r="G11">
        <f>IFERROR(VLOOKUP(tblOPD[[#This Row],[Bill type ]],'Reference Lists'!$A$25:$B$38,2,FALSE)*MAX(1,tblOPD[[#This Row],[Quantity]]),"")</f>
        <v>2500</v>
      </c>
      <c r="H11" t="s">
        <v>106</v>
      </c>
      <c r="I11" t="s">
        <v>55</v>
      </c>
      <c r="J11" s="1">
        <f t="shared" ca="1" si="0"/>
        <v>46027</v>
      </c>
      <c r="K11">
        <f>IFERROR((VLOOKUP(tblOPD[[#This Row],[Bill type ]],'Reference Lists'!$A$24:$D$38,4,FALSE))*tblOPD[[#This Row],[Amount]],"")</f>
        <v>200</v>
      </c>
      <c r="L11">
        <f>IFERROR(tblOPD[[#This Row],[Amount]]-tblOPD[[#This Row],[Discount]],"")</f>
        <v>2300</v>
      </c>
    </row>
    <row r="12" spans="1:13" x14ac:dyDescent="0.35">
      <c r="A12" t="s">
        <v>166</v>
      </c>
      <c r="B12" t="str">
        <f>_xlfn.XLOOKUP(tblOPD[[#This Row],[Patient id.]],Tbl.PatRec[Patient ID],Tbl.PatRec[Name],"",0)</f>
        <v>Name 18</v>
      </c>
      <c r="C12" t="s">
        <v>146</v>
      </c>
      <c r="D12" t="str">
        <f>IF(_xlfn.XLOOKUP(tblOPD[[#This Row],[Patient id.]],tblIPD[Patient id.],tblIPD[Patient id.],"")&lt;&gt;"","OPD → IPD Transition","OPD")</f>
        <v>OPD</v>
      </c>
      <c r="E12" t="s">
        <v>118</v>
      </c>
      <c r="F12">
        <v>4</v>
      </c>
      <c r="G12">
        <f>IFERROR(VLOOKUP(tblOPD[[#This Row],[Bill type ]],'Reference Lists'!$A$25:$B$38,2,FALSE)*MAX(1,tblOPD[[#This Row],[Quantity]]),"")</f>
        <v>2000</v>
      </c>
      <c r="H12" t="s">
        <v>106</v>
      </c>
      <c r="I12" t="s">
        <v>56</v>
      </c>
      <c r="J12" s="1">
        <f t="shared" ca="1" si="0"/>
        <v>46027</v>
      </c>
      <c r="K12">
        <f>IFERROR((VLOOKUP(tblOPD[[#This Row],[Bill type ]],'Reference Lists'!$A$24:$D$38,4,FALSE))*tblOPD[[#This Row],[Amount]],"")</f>
        <v>0</v>
      </c>
      <c r="L12">
        <f>IFERROR(tblOPD[[#This Row],[Amount]]-tblOPD[[#This Row],[Discount]],"")</f>
        <v>2000</v>
      </c>
    </row>
    <row r="13" spans="1:13" x14ac:dyDescent="0.35">
      <c r="A13" t="s">
        <v>167</v>
      </c>
      <c r="B13" t="str">
        <f>_xlfn.XLOOKUP(tblOPD[[#This Row],[Patient id.]],Tbl.PatRec[Patient ID],Tbl.PatRec[Name],"",0)</f>
        <v>Name 20</v>
      </c>
      <c r="C13" t="s">
        <v>148</v>
      </c>
      <c r="D13" t="str">
        <f>IF(_xlfn.XLOOKUP(tblOPD[[#This Row],[Patient id.]],tblIPD[Patient id.],tblIPD[Patient id.],"")&lt;&gt;"","OPD → IPD Transition","OPD")</f>
        <v>OPD</v>
      </c>
      <c r="E13" t="s">
        <v>135</v>
      </c>
      <c r="G13">
        <f>IFERROR(VLOOKUP(tblOPD[[#This Row],[Bill type ]],'Reference Lists'!$A$25:$B$38,2,FALSE)*MAX(1,tblOPD[[#This Row],[Quantity]]),"")</f>
        <v>35000</v>
      </c>
      <c r="H13" t="s">
        <v>106</v>
      </c>
      <c r="I13" t="s">
        <v>32</v>
      </c>
      <c r="J13" s="1">
        <f t="shared" ca="1" si="0"/>
        <v>46027</v>
      </c>
      <c r="K13">
        <f>IFERROR((VLOOKUP(tblOPD[[#This Row],[Bill type ]],'Reference Lists'!$A$24:$D$38,4,FALSE))*tblOPD[[#This Row],[Amount]],"")</f>
        <v>5250</v>
      </c>
      <c r="L13">
        <f>IFERROR(tblOPD[[#This Row],[Amount]]-tblOPD[[#This Row],[Discount]],"")</f>
        <v>29750</v>
      </c>
    </row>
    <row r="14" spans="1:13" x14ac:dyDescent="0.35">
      <c r="A14" t="s">
        <v>168</v>
      </c>
      <c r="B14" s="29" t="str">
        <f>_xlfn.XLOOKUP(tblOPD[[#This Row],[Patient id.]],Tbl.PatRec[Patient ID],Tbl.PatRec[Name],"",0)</f>
        <v>Name 8</v>
      </c>
      <c r="C14" t="s">
        <v>67</v>
      </c>
      <c r="D14" t="str">
        <f>IF(_xlfn.XLOOKUP(tblOPD[[#This Row],[Patient id.]],tblIPD[Patient id.],tblIPD[Patient id.],"")&lt;&gt;"","OPD → IPD Transition","OPD")</f>
        <v>OPD → IPD Transition</v>
      </c>
      <c r="G14" s="29" t="str">
        <f>IFERROR(VLOOKUP(tblOPD[[#This Row],[Bill type ]],'Reference Lists'!$A$25:$B$38,2,FALSE)*MAX(1,tblOPD[[#This Row],[Quantity]]),"")</f>
        <v/>
      </c>
      <c r="J14" s="1">
        <f ca="1">TODAY()</f>
        <v>46027</v>
      </c>
      <c r="K14" s="29" t="str">
        <f>IFERROR((VLOOKUP(tblOPD[[#This Row],[Bill type ]],'Reference Lists'!$A$24:$D$38,4,FALSE))*tblOPD[[#This Row],[Amount]],"")</f>
        <v/>
      </c>
      <c r="L14" s="29" t="str">
        <f>IFERROR(tblOPD[[#This Row],[Amount]]-tblOPD[[#This Row],[Discount]],"")</f>
        <v/>
      </c>
    </row>
  </sheetData>
  <mergeCells count="1">
    <mergeCell ref="F1:H2"/>
  </mergeCells>
  <phoneticPr fontId="2" type="noConversion"/>
  <dataValidations count="2">
    <dataValidation type="list" allowBlank="1" showInputMessage="1" showErrorMessage="1" sqref="H5:H14" xr:uid="{EC0ECBEE-B38A-4395-8D69-B8022589AD51}">
      <formula1>"Paid, Unpaid"</formula1>
    </dataValidation>
    <dataValidation type="list" allowBlank="1" showInputMessage="1" showErrorMessage="1" sqref="I5:I14" xr:uid="{B5744DC9-085F-4C46-8202-3D0308D02A93}">
      <formula1>"Cash, Card, Insurance"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F93DFC8-A498-4255-BAF9-D486C95F76C6}">
          <x14:formula1>
            <xm:f>'Reference Lists'!$F$25:$F$38</xm:f>
          </x14:formula1>
          <xm:sqref>E5:E14</xm:sqref>
        </x14:dataValidation>
        <x14:dataValidation type="custom" allowBlank="1" showInputMessage="1" showErrorMessage="1" errorTitle="Warning" error="Patient already admitted. OPD billing not allowed." xr:uid="{97C2BC7D-B7BA-4E84-91CF-D96D80AA9812}">
          <x14:formula1>
            <xm:f>COUNTIF('IPD Billing'!B5:B14,C5)=0</xm:f>
          </x14:formula1>
          <xm:sqref>C5:D14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6"/>
  <sheetViews>
    <sheetView zoomScale="133" zoomScaleNormal="130" workbookViewId="0">
      <selection activeCell="A8" sqref="A8"/>
    </sheetView>
  </sheetViews>
  <sheetFormatPr defaultRowHeight="14.5" x14ac:dyDescent="0.35"/>
  <cols>
    <col min="1" max="1" width="11.453125" bestFit="1" customWidth="1"/>
    <col min="2" max="2" width="11.453125" customWidth="1"/>
    <col min="3" max="3" width="9.1796875" bestFit="1" customWidth="1"/>
    <col min="4" max="4" width="13" bestFit="1" customWidth="1"/>
    <col min="5" max="5" width="10.1796875" customWidth="1"/>
    <col min="6" max="6" width="16.54296875" bestFit="1" customWidth="1"/>
    <col min="7" max="13" width="16.54296875" customWidth="1"/>
    <col min="14" max="14" width="14.54296875" bestFit="1" customWidth="1"/>
    <col min="15" max="15" width="8.453125" bestFit="1" customWidth="1"/>
    <col min="16" max="16" width="17.81640625" bestFit="1" customWidth="1"/>
    <col min="17" max="17" width="15.7265625" bestFit="1" customWidth="1"/>
    <col min="18" max="18" width="10.453125" bestFit="1" customWidth="1"/>
    <col min="19" max="19" width="13.1796875" bestFit="1" customWidth="1"/>
    <col min="20" max="20" width="10.453125" bestFit="1" customWidth="1"/>
  </cols>
  <sheetData>
    <row r="1" spans="1:20" x14ac:dyDescent="0.35">
      <c r="G1" s="44" t="s">
        <v>105</v>
      </c>
      <c r="H1" s="44"/>
      <c r="I1" s="44"/>
    </row>
    <row r="2" spans="1:20" ht="19.5" customHeight="1" x14ac:dyDescent="0.35">
      <c r="G2" s="44"/>
      <c r="H2" s="44"/>
      <c r="I2" s="44"/>
    </row>
    <row r="4" spans="1:20" x14ac:dyDescent="0.35">
      <c r="A4" s="8" t="s">
        <v>51</v>
      </c>
      <c r="B4" s="8" t="s">
        <v>88</v>
      </c>
      <c r="C4" s="8" t="s">
        <v>27</v>
      </c>
      <c r="D4" s="8" t="s">
        <v>89</v>
      </c>
      <c r="E4" s="8" t="s">
        <v>90</v>
      </c>
      <c r="F4" s="8" t="s">
        <v>91</v>
      </c>
      <c r="G4" s="8" t="s">
        <v>92</v>
      </c>
      <c r="H4" s="8" t="s">
        <v>93</v>
      </c>
      <c r="I4" s="8" t="s">
        <v>94</v>
      </c>
      <c r="J4" s="8" t="s">
        <v>95</v>
      </c>
      <c r="K4" s="8" t="s">
        <v>96</v>
      </c>
      <c r="L4" s="8" t="s">
        <v>97</v>
      </c>
      <c r="M4" s="8" t="s">
        <v>98</v>
      </c>
      <c r="N4" s="8" t="s">
        <v>99</v>
      </c>
      <c r="O4" s="8" t="s">
        <v>33</v>
      </c>
      <c r="P4" s="8" t="s">
        <v>54</v>
      </c>
      <c r="Q4" s="8" t="s">
        <v>107</v>
      </c>
      <c r="R4" s="8" t="s">
        <v>52</v>
      </c>
      <c r="S4" s="8" t="s">
        <v>53</v>
      </c>
      <c r="T4" s="8" t="s">
        <v>49</v>
      </c>
    </row>
    <row r="5" spans="1:20" x14ac:dyDescent="0.35">
      <c r="A5" t="s">
        <v>172</v>
      </c>
      <c r="B5" t="s">
        <v>60</v>
      </c>
      <c r="C5" t="str">
        <f>_xlfn.XLOOKUP(tblIPD[[#This Row],[Patient id.]],Tbl.PatRec[Patient ID],Tbl.PatRec[Name],"",0)</f>
        <v>Name 1</v>
      </c>
      <c r="D5" t="s">
        <v>16</v>
      </c>
      <c r="E5">
        <v>3</v>
      </c>
      <c r="F5" s="13">
        <v>46006</v>
      </c>
      <c r="G5" s="14">
        <v>46011</v>
      </c>
      <c r="H5">
        <f>tblIPD[[#This Row],[Discharge date]]-tblIPD[[#This Row],[Admission date ]]+1</f>
        <v>6</v>
      </c>
      <c r="I5">
        <f>IF(tblIPD[[#This Row],[Ward type ]]="General",'Reference Lists'!$I$13,IF(tblIPD[[#This Row],[Ward type ]]="Semi-Private",'Reference Lists'!$I$14,IF(tblIPD[[#This Row],[Ward type ]]="Private",'Reference Lists'!$I$15,IF(tblIPD[[#This Row],[Ward type ]]="ICU",'Reference Lists'!$I$17,IF(tblIPD[[#This Row],[Ward type ]]="CCU",'Reference Lists'!$I$16,"")))))</f>
        <v>2000</v>
      </c>
      <c r="J5">
        <f>IF(tblIPD[[#This Row],[Ward type ]]="General",'Reference Lists'!$B$13,IF(tblIPD[[#This Row],[Ward type ]]="Semi-Private",'Reference Lists'!$B$14,IF(tblIPD[[#This Row],[Ward type ]]="Private",'Reference Lists'!$B$15,IF(tblIPD[[#This Row],[Ward type ]]="ICU",'Reference Lists'!$B$16,IF(tblIPD[[#This Row],[Ward type ]]="CCU",'Reference Lists'!$B$17,"")))))</f>
        <v>700</v>
      </c>
      <c r="K5">
        <f>IF(tblIPD[[#This Row],[Ward type ]]="General",'Reference Lists'!$E$4,IF(tblIPD[[#This Row],[Ward type ]]="Semi-Private",'Reference Lists'!$E$5,IF(tblIPD[[#This Row],[Ward type ]]="Private",'Reference Lists'!$E$6,IF(tblIPD[[#This Row],[Ward type ]]="ICU",'Reference Lists'!$B$16,IF(tblIPD[[#This Row],[Ward type ]]="CCU",'Reference Lists'!$B$17,"")))))</f>
        <v>500</v>
      </c>
      <c r="L5">
        <f>IF(tblIPD[[#This Row],[Ward type ]]="General",'Reference Lists'!$E$13,IF(tblIPD[[#This Row],[Ward type ]]="Semi-Private",'Reference Lists'!$E$14,IF(tblIPD[[#This Row],[Ward type ]]="Private",'Reference Lists'!$E$15,IF(tblIPD[[#This Row],[Ward type ]]="ICU",'Reference Lists'!$E$16,IF(tblIPD[[#This Row],[Ward type ]]="CCU",'Reference Lists'!$E$17,"")))))</f>
        <v>500</v>
      </c>
      <c r="N5">
        <f>(tblIPD[[#This Row],[Other charges]]+tblIPD[[#This Row],[Doctor charges]]+tblIPD[[#This Row],[Nursing charges]]+tblIPD[[#This Row],[Room Charges]]+tblIPD[[#This Row],[Rate per day]])*tblIPD[[#This Row],[No. of days]]</f>
        <v>22200</v>
      </c>
      <c r="O5" t="s">
        <v>106</v>
      </c>
      <c r="P5" t="s">
        <v>55</v>
      </c>
      <c r="Q5" s="14">
        <v>46011</v>
      </c>
      <c r="R5">
        <f>tblIPD[[#This Row],[Total Amount]]*VLOOKUP(tblIPD[[#This Row],[Ward type ]],'Reference Lists'!$A$4:$B$8,2,FALSE)</f>
        <v>1110</v>
      </c>
      <c r="S5">
        <f>tblIPD[[#This Row],[Total Amount]]-tblIPD[[#This Row],[Discount]]</f>
        <v>21090</v>
      </c>
    </row>
    <row r="6" spans="1:20" x14ac:dyDescent="0.35">
      <c r="A6" t="s">
        <v>173</v>
      </c>
      <c r="B6" t="s">
        <v>64</v>
      </c>
      <c r="C6" t="str">
        <f>_xlfn.XLOOKUP(tblIPD[[#This Row],[Patient id.]],Tbl.PatRec[Patient ID],Tbl.PatRec[Name],"",0)</f>
        <v>Name 5</v>
      </c>
      <c r="D6" t="s">
        <v>100</v>
      </c>
      <c r="E6">
        <v>9</v>
      </c>
      <c r="F6" s="13">
        <v>46006</v>
      </c>
      <c r="G6" s="14">
        <v>46013</v>
      </c>
      <c r="H6">
        <f>tblIPD[[#This Row],[Discharge date]]-tblIPD[[#This Row],[Admission date ]]+1</f>
        <v>8</v>
      </c>
      <c r="I6">
        <f>IF(tblIPD[[#This Row],[Ward type ]]="General",'Reference Lists'!$I$13,IF(tblIPD[[#This Row],[Ward type ]]="Semi-Private",'Reference Lists'!$I$14,IF(tblIPD[[#This Row],[Ward type ]]="Private",'Reference Lists'!$I$15,IF(tblIPD[[#This Row],[Ward type ]]="ICU",'Reference Lists'!$I$17,IF(tblIPD[[#This Row],[Ward type ]]="CCU",'Reference Lists'!$I$16,"")))))</f>
        <v>4000</v>
      </c>
      <c r="J6">
        <f>IF(tblIPD[[#This Row],[Ward type ]]="General",'Reference Lists'!$B$13,IF(tblIPD[[#This Row],[Ward type ]]="Semi-Private",'Reference Lists'!$B$14,IF(tblIPD[[#This Row],[Ward type ]]="Private",'Reference Lists'!$B$15,IF(tblIPD[[#This Row],[Ward type ]]="ICU",'Reference Lists'!$B$16,IF(tblIPD[[#This Row],[Ward type ]]="CCU",'Reference Lists'!$B$17,"")))))</f>
        <v>2000</v>
      </c>
      <c r="K6">
        <f>IF(tblIPD[[#This Row],[Ward type ]]="General",'Reference Lists'!$E$4,IF(tblIPD[[#This Row],[Ward type ]]="Semi-Private",'Reference Lists'!$E$5,IF(tblIPD[[#This Row],[Ward type ]]="Private",'Reference Lists'!$E$6,IF(tblIPD[[#This Row],[Ward type ]]="ICU",'Reference Lists'!$B$16,IF(tblIPD[[#This Row],[Ward type ]]="CCU",'Reference Lists'!$B$17,"")))))</f>
        <v>800</v>
      </c>
      <c r="L6">
        <f>IF(tblIPD[[#This Row],[Ward type ]]="General",'Reference Lists'!$E$13,IF(tblIPD[[#This Row],[Ward type ]]="Semi-Private",'Reference Lists'!$E$14,IF(tblIPD[[#This Row],[Ward type ]]="Private",'Reference Lists'!$E$15,IF(tblIPD[[#This Row],[Ward type ]]="ICU",'Reference Lists'!$E$16,IF(tblIPD[[#This Row],[Ward type ]]="CCU",'Reference Lists'!$E$17,"")))))</f>
        <v>1200</v>
      </c>
      <c r="N6">
        <f>(tblIPD[[#This Row],[Other charges]]+tblIPD[[#This Row],[Doctor charges]]+tblIPD[[#This Row],[Nursing charges]]+tblIPD[[#This Row],[Room Charges]]+tblIPD[[#This Row],[Rate per day]])*tblIPD[[#This Row],[No. of days]]</f>
        <v>64000</v>
      </c>
      <c r="O6" t="s">
        <v>106</v>
      </c>
      <c r="P6" t="s">
        <v>56</v>
      </c>
      <c r="Q6" s="14">
        <v>46013</v>
      </c>
      <c r="R6">
        <f>tblIPD[[#This Row],[Total Amount]]*VLOOKUP(tblIPD[[#This Row],[Ward type ]],'Reference Lists'!$A$4:$B$8,2,FALSE)</f>
        <v>4480</v>
      </c>
      <c r="S6">
        <f>tblIPD[[#This Row],[Total Amount]]-tblIPD[[#This Row],[Discount]]</f>
        <v>59520</v>
      </c>
    </row>
    <row r="7" spans="1:20" x14ac:dyDescent="0.35">
      <c r="A7" t="s">
        <v>174</v>
      </c>
      <c r="B7" t="s">
        <v>143</v>
      </c>
      <c r="C7" t="str">
        <f>_xlfn.XLOOKUP(tblIPD[[#This Row],[Patient id.]],Tbl.PatRec[Patient ID],Tbl.PatRec[Name],"",0)</f>
        <v>Name 15</v>
      </c>
      <c r="D7" t="s">
        <v>17</v>
      </c>
      <c r="E7">
        <v>10</v>
      </c>
      <c r="F7" s="13">
        <v>46006</v>
      </c>
      <c r="G7" s="14">
        <v>46020</v>
      </c>
      <c r="H7">
        <f>tblIPD[[#This Row],[Discharge date]]-tblIPD[[#This Row],[Admission date ]]+1</f>
        <v>15</v>
      </c>
      <c r="I7">
        <f>IF(tblIPD[[#This Row],[Ward type ]]="General",'Reference Lists'!$I$13,IF(tblIPD[[#This Row],[Ward type ]]="Semi-Private",'Reference Lists'!$I$14,IF(tblIPD[[#This Row],[Ward type ]]="Private",'Reference Lists'!$I$15,IF(tblIPD[[#This Row],[Ward type ]]="ICU",'Reference Lists'!$I$17,IF(tblIPD[[#This Row],[Ward type ]]="CCU",'Reference Lists'!$I$16,"")))))</f>
        <v>15000</v>
      </c>
      <c r="J7">
        <f>IF(tblIPD[[#This Row],[Ward type ]]="General",'Reference Lists'!$B$13,IF(tblIPD[[#This Row],[Ward type ]]="Semi-Private",'Reference Lists'!$B$14,IF(tblIPD[[#This Row],[Ward type ]]="Private",'Reference Lists'!$B$15,IF(tblIPD[[#This Row],[Ward type ]]="ICU",'Reference Lists'!$B$16,IF(tblIPD[[#This Row],[Ward type ]]="CCU",'Reference Lists'!$B$17,"")))))</f>
        <v>8000</v>
      </c>
      <c r="K7">
        <f>IF(tblIPD[[#This Row],[Ward type ]]="General",'Reference Lists'!$E$4,IF(tblIPD[[#This Row],[Ward type ]]="Semi-Private",'Reference Lists'!$E$5,IF(tblIPD[[#This Row],[Ward type ]]="Private",'Reference Lists'!$E$6,IF(tblIPD[[#This Row],[Ward type ]]="ICU",'Reference Lists'!$B$16,IF(tblIPD[[#This Row],[Ward type ]]="CCU",'Reference Lists'!$B$17,"")))))</f>
        <v>8000</v>
      </c>
      <c r="L7">
        <f>IF(tblIPD[[#This Row],[Ward type ]]="General",'Reference Lists'!$E$13,IF(tblIPD[[#This Row],[Ward type ]]="Semi-Private",'Reference Lists'!$E$14,IF(tblIPD[[#This Row],[Ward type ]]="Private",'Reference Lists'!$E$15,IF(tblIPD[[#This Row],[Ward type ]]="ICU",'Reference Lists'!$E$16,IF(tblIPD[[#This Row],[Ward type ]]="CCU",'Reference Lists'!$E$17,"")))))</f>
        <v>2500</v>
      </c>
      <c r="N7">
        <f>(tblIPD[[#This Row],[Other charges]]+tblIPD[[#This Row],[Doctor charges]]+tblIPD[[#This Row],[Nursing charges]]+tblIPD[[#This Row],[Room Charges]]+tblIPD[[#This Row],[Rate per day]])*tblIPD[[#This Row],[No. of days]]</f>
        <v>502500</v>
      </c>
      <c r="O7" t="s">
        <v>108</v>
      </c>
      <c r="R7">
        <f>tblIPD[[#This Row],[Total Amount]]*VLOOKUP(tblIPD[[#This Row],[Ward type ]],'Reference Lists'!$A$4:$B$8,2,FALSE)</f>
        <v>25125</v>
      </c>
      <c r="S7">
        <f>tblIPD[[#This Row],[Total Amount]]-tblIPD[[#This Row],[Discount]]</f>
        <v>477375</v>
      </c>
    </row>
    <row r="8" spans="1:20" x14ac:dyDescent="0.35">
      <c r="A8" t="s">
        <v>175</v>
      </c>
      <c r="B8" t="s">
        <v>68</v>
      </c>
      <c r="C8" t="str">
        <f>_xlfn.XLOOKUP(tblIPD[[#This Row],[Patient id.]],Tbl.PatRec[Patient ID],Tbl.PatRec[Name],"",0)</f>
        <v>Name 9</v>
      </c>
      <c r="D8" t="s">
        <v>101</v>
      </c>
      <c r="E8">
        <v>1</v>
      </c>
      <c r="F8" s="13">
        <v>45993</v>
      </c>
      <c r="G8" s="14">
        <v>46006</v>
      </c>
      <c r="H8">
        <f>tblIPD[[#This Row],[Discharge date]]-tblIPD[[#This Row],[Admission date ]]+1</f>
        <v>14</v>
      </c>
      <c r="I8">
        <f>IF(tblIPD[[#This Row],[Ward type ]]="General",'Reference Lists'!$I$13,IF(tblIPD[[#This Row],[Ward type ]]="Semi-Private",'Reference Lists'!$I$14,IF(tblIPD[[#This Row],[Ward type ]]="Private",'Reference Lists'!$I$15,IF(tblIPD[[#This Row],[Ward type ]]="ICU",'Reference Lists'!$I$17,IF(tblIPD[[#This Row],[Ward type ]]="CCU",'Reference Lists'!$I$16,"")))))</f>
        <v>8000</v>
      </c>
      <c r="J8">
        <f>IF(tblIPD[[#This Row],[Ward type ]]="General",'Reference Lists'!$B$13,IF(tblIPD[[#This Row],[Ward type ]]="Semi-Private",'Reference Lists'!$B$14,IF(tblIPD[[#This Row],[Ward type ]]="Private",'Reference Lists'!$B$15,IF(tblIPD[[#This Row],[Ward type ]]="ICU",'Reference Lists'!$B$16,IF(tblIPD[[#This Row],[Ward type ]]="CCU",'Reference Lists'!$B$17,"")))))</f>
        <v>3000</v>
      </c>
      <c r="K8">
        <f>IF(tblIPD[[#This Row],[Ward type ]]="General",'Reference Lists'!$E$4,IF(tblIPD[[#This Row],[Ward type ]]="Semi-Private",'Reference Lists'!$E$5,IF(tblIPD[[#This Row],[Ward type ]]="Private",'Reference Lists'!$E$6,IF(tblIPD[[#This Row],[Ward type ]]="ICU",'Reference Lists'!$B$16,IF(tblIPD[[#This Row],[Ward type ]]="CCU",'Reference Lists'!$B$17,"")))))</f>
        <v>1200</v>
      </c>
      <c r="L8">
        <f>IF(tblIPD[[#This Row],[Ward type ]]="General",'Reference Lists'!$E$13,IF(tblIPD[[#This Row],[Ward type ]]="Semi-Private",'Reference Lists'!$E$14,IF(tblIPD[[#This Row],[Ward type ]]="Private",'Reference Lists'!$E$15,IF(tblIPD[[#This Row],[Ward type ]]="ICU",'Reference Lists'!$E$16,IF(tblIPD[[#This Row],[Ward type ]]="CCU",'Reference Lists'!$E$17,"")))))</f>
        <v>2000</v>
      </c>
      <c r="N8">
        <f>(tblIPD[[#This Row],[Other charges]]+tblIPD[[#This Row],[Doctor charges]]+tblIPD[[#This Row],[Nursing charges]]+tblIPD[[#This Row],[Room Charges]]+tblIPD[[#This Row],[Rate per day]])*tblIPD[[#This Row],[No. of days]]</f>
        <v>198800</v>
      </c>
      <c r="O8" t="s">
        <v>108</v>
      </c>
      <c r="R8">
        <f>tblIPD[[#This Row],[Total Amount]]*VLOOKUP(tblIPD[[#This Row],[Ward type ]],'Reference Lists'!$A$4:$B$8,2,FALSE)</f>
        <v>19880</v>
      </c>
      <c r="S8">
        <f>tblIPD[[#This Row],[Total Amount]]-tblIPD[[#This Row],[Discount]]</f>
        <v>178920</v>
      </c>
    </row>
    <row r="9" spans="1:20" x14ac:dyDescent="0.35">
      <c r="A9" t="s">
        <v>176</v>
      </c>
      <c r="B9" t="s">
        <v>63</v>
      </c>
      <c r="C9" t="str">
        <f>_xlfn.XLOOKUP(tblIPD[[#This Row],[Patient id.]],Tbl.PatRec[Patient ID],Tbl.PatRec[Name],"",0)</f>
        <v>Name 4</v>
      </c>
      <c r="D9" t="s">
        <v>16</v>
      </c>
      <c r="E9">
        <v>3</v>
      </c>
      <c r="F9" s="13">
        <v>46003</v>
      </c>
      <c r="G9" s="14">
        <v>46011</v>
      </c>
      <c r="H9">
        <f>tblIPD[[#This Row],[Discharge date]]-tblIPD[[#This Row],[Admission date ]]+1</f>
        <v>9</v>
      </c>
      <c r="I9">
        <f>IF(tblIPD[[#This Row],[Ward type ]]="General",'Reference Lists'!$I$13,IF(tblIPD[[#This Row],[Ward type ]]="Semi-Private",'Reference Lists'!$I$14,IF(tblIPD[[#This Row],[Ward type ]]="Private",'Reference Lists'!$I$15,IF(tblIPD[[#This Row],[Ward type ]]="ICU",'Reference Lists'!$I$17,IF(tblIPD[[#This Row],[Ward type ]]="CCU",'Reference Lists'!$I$16,"")))))</f>
        <v>2000</v>
      </c>
      <c r="J9">
        <f>IF(tblIPD[[#This Row],[Ward type ]]="General",'Reference Lists'!$B$13,IF(tblIPD[[#This Row],[Ward type ]]="Semi-Private",'Reference Lists'!$B$14,IF(tblIPD[[#This Row],[Ward type ]]="Private",'Reference Lists'!$B$15,IF(tblIPD[[#This Row],[Ward type ]]="ICU",'Reference Lists'!$B$16,IF(tblIPD[[#This Row],[Ward type ]]="CCU",'Reference Lists'!$B$17,"")))))</f>
        <v>700</v>
      </c>
      <c r="K9">
        <f>IF(tblIPD[[#This Row],[Ward type ]]="General",'Reference Lists'!$E$4,IF(tblIPD[[#This Row],[Ward type ]]="Semi-Private",'Reference Lists'!$E$5,IF(tblIPD[[#This Row],[Ward type ]]="Private",'Reference Lists'!$E$6,IF(tblIPD[[#This Row],[Ward type ]]="ICU",'Reference Lists'!$B$16,IF(tblIPD[[#This Row],[Ward type ]]="CCU",'Reference Lists'!$B$17,"")))))</f>
        <v>500</v>
      </c>
      <c r="L9">
        <f>IF(tblIPD[[#This Row],[Ward type ]]="General",'Reference Lists'!$E$13,IF(tblIPD[[#This Row],[Ward type ]]="Semi-Private",'Reference Lists'!$E$14,IF(tblIPD[[#This Row],[Ward type ]]="Private",'Reference Lists'!$E$15,IF(tblIPD[[#This Row],[Ward type ]]="ICU",'Reference Lists'!$E$16,IF(tblIPD[[#This Row],[Ward type ]]="CCU",'Reference Lists'!$E$17,"")))))</f>
        <v>500</v>
      </c>
      <c r="N9">
        <f>(tblIPD[[#This Row],[Other charges]]+tblIPD[[#This Row],[Doctor charges]]+tblIPD[[#This Row],[Nursing charges]]+tblIPD[[#This Row],[Room Charges]]+tblIPD[[#This Row],[Rate per day]])*tblIPD[[#This Row],[No. of days]]</f>
        <v>33300</v>
      </c>
      <c r="O9" t="s">
        <v>106</v>
      </c>
      <c r="P9" t="s">
        <v>32</v>
      </c>
      <c r="R9">
        <f>tblIPD[[#This Row],[Total Amount]]*VLOOKUP(tblIPD[[#This Row],[Ward type ]],'Reference Lists'!$A$4:$B$8,2,FALSE)</f>
        <v>1665</v>
      </c>
      <c r="S9">
        <f>tblIPD[[#This Row],[Total Amount]]-tblIPD[[#This Row],[Discount]]</f>
        <v>31635</v>
      </c>
    </row>
    <row r="10" spans="1:20" x14ac:dyDescent="0.35">
      <c r="A10" t="s">
        <v>177</v>
      </c>
      <c r="B10" t="s">
        <v>66</v>
      </c>
      <c r="C10" t="str">
        <f>_xlfn.XLOOKUP(tblIPD[[#This Row],[Patient id.]],Tbl.PatRec[Patient ID],Tbl.PatRec[Name],"",0)</f>
        <v>Name 7</v>
      </c>
      <c r="D10" t="s">
        <v>18</v>
      </c>
      <c r="E10">
        <v>7</v>
      </c>
      <c r="F10" s="13">
        <v>45994</v>
      </c>
      <c r="G10" s="14">
        <v>46010</v>
      </c>
      <c r="H10">
        <f>tblIPD[[#This Row],[Discharge date]]-tblIPD[[#This Row],[Admission date ]]+1</f>
        <v>17</v>
      </c>
      <c r="I10">
        <f>IF(tblIPD[[#This Row],[Ward type ]]="General",'Reference Lists'!$I$13,IF(tblIPD[[#This Row],[Ward type ]]="Semi-Private",'Reference Lists'!$I$14,IF(tblIPD[[#This Row],[Ward type ]]="Private",'Reference Lists'!$I$15,IF(tblIPD[[#This Row],[Ward type ]]="ICU",'Reference Lists'!$I$17,IF(tblIPD[[#This Row],[Ward type ]]="CCU",'Reference Lists'!$I$16,"")))))</f>
        <v>12000</v>
      </c>
      <c r="J10">
        <f>IF(tblIPD[[#This Row],[Ward type ]]="General",'Reference Lists'!$B$13,IF(tblIPD[[#This Row],[Ward type ]]="Semi-Private",'Reference Lists'!$B$14,IF(tblIPD[[#This Row],[Ward type ]]="Private",'Reference Lists'!$B$15,IF(tblIPD[[#This Row],[Ward type ]]="ICU",'Reference Lists'!$B$16,IF(tblIPD[[#This Row],[Ward type ]]="CCU",'Reference Lists'!$B$17,"")))))</f>
        <v>6000</v>
      </c>
      <c r="K10">
        <f>IF(tblIPD[[#This Row],[Ward type ]]="General",'Reference Lists'!$E$4,IF(tblIPD[[#This Row],[Ward type ]]="Semi-Private",'Reference Lists'!$E$5,IF(tblIPD[[#This Row],[Ward type ]]="Private",'Reference Lists'!$E$6,IF(tblIPD[[#This Row],[Ward type ]]="ICU",'Reference Lists'!$B$16,IF(tblIPD[[#This Row],[Ward type ]]="CCU",'Reference Lists'!$B$17,"")))))</f>
        <v>6000</v>
      </c>
      <c r="L10">
        <f>IF(tblIPD[[#This Row],[Ward type ]]="General",'Reference Lists'!$E$13,IF(tblIPD[[#This Row],[Ward type ]]="Semi-Private",'Reference Lists'!$E$14,IF(tblIPD[[#This Row],[Ward type ]]="Private",'Reference Lists'!$E$15,IF(tblIPD[[#This Row],[Ward type ]]="ICU",'Reference Lists'!$E$16,IF(tblIPD[[#This Row],[Ward type ]]="CCU",'Reference Lists'!$E$17,"")))))</f>
        <v>2200</v>
      </c>
      <c r="N10">
        <f>(tblIPD[[#This Row],[Other charges]]+tblIPD[[#This Row],[Doctor charges]]+tblIPD[[#This Row],[Nursing charges]]+tblIPD[[#This Row],[Room Charges]]+tblIPD[[#This Row],[Rate per day]])*tblIPD[[#This Row],[No. of days]]</f>
        <v>445400</v>
      </c>
      <c r="O10" t="s">
        <v>108</v>
      </c>
      <c r="R10">
        <f>tblIPD[[#This Row],[Total Amount]]*VLOOKUP(tblIPD[[#This Row],[Ward type ]],'Reference Lists'!$A$4:$B$8,2,FALSE)</f>
        <v>35632</v>
      </c>
      <c r="S10">
        <f>tblIPD[[#This Row],[Total Amount]]-tblIPD[[#This Row],[Discount]]</f>
        <v>409768</v>
      </c>
    </row>
    <row r="11" spans="1:20" x14ac:dyDescent="0.35">
      <c r="A11" t="s">
        <v>178</v>
      </c>
      <c r="B11" t="s">
        <v>139</v>
      </c>
      <c r="C11" t="str">
        <f>_xlfn.XLOOKUP(tblIPD[[#This Row],[Patient id.]],Tbl.PatRec[Patient ID],Tbl.PatRec[Name],"",0)</f>
        <v>Name 11</v>
      </c>
      <c r="D11" t="s">
        <v>101</v>
      </c>
      <c r="E11">
        <v>1</v>
      </c>
      <c r="F11" s="13">
        <v>45994</v>
      </c>
      <c r="G11" s="14">
        <v>46002</v>
      </c>
      <c r="H11">
        <f>tblIPD[[#This Row],[Discharge date]]-tblIPD[[#This Row],[Admission date ]]+1</f>
        <v>9</v>
      </c>
      <c r="I11">
        <f>IF(tblIPD[[#This Row],[Ward type ]]="General",'Reference Lists'!$I$13,IF(tblIPD[[#This Row],[Ward type ]]="Semi-Private",'Reference Lists'!$I$14,IF(tblIPD[[#This Row],[Ward type ]]="Private",'Reference Lists'!$I$15,IF(tblIPD[[#This Row],[Ward type ]]="ICU",'Reference Lists'!$I$17,IF(tblIPD[[#This Row],[Ward type ]]="CCU",'Reference Lists'!$I$16,"")))))</f>
        <v>8000</v>
      </c>
      <c r="J11">
        <f>IF(tblIPD[[#This Row],[Ward type ]]="General",'Reference Lists'!$B$13,IF(tblIPD[[#This Row],[Ward type ]]="Semi-Private",'Reference Lists'!$B$14,IF(tblIPD[[#This Row],[Ward type ]]="Private",'Reference Lists'!$B$15,IF(tblIPD[[#This Row],[Ward type ]]="ICU",'Reference Lists'!$B$16,IF(tblIPD[[#This Row],[Ward type ]]="CCU",'Reference Lists'!$B$17,"")))))</f>
        <v>3000</v>
      </c>
      <c r="K11">
        <f>IF(tblIPD[[#This Row],[Ward type ]]="General",'Reference Lists'!$E$4,IF(tblIPD[[#This Row],[Ward type ]]="Semi-Private",'Reference Lists'!$E$5,IF(tblIPD[[#This Row],[Ward type ]]="Private",'Reference Lists'!$E$6,IF(tblIPD[[#This Row],[Ward type ]]="ICU",'Reference Lists'!$B$16,IF(tblIPD[[#This Row],[Ward type ]]="CCU",'Reference Lists'!$B$17,"")))))</f>
        <v>1200</v>
      </c>
      <c r="L11">
        <f>IF(tblIPD[[#This Row],[Ward type ]]="General",'Reference Lists'!$E$13,IF(tblIPD[[#This Row],[Ward type ]]="Semi-Private",'Reference Lists'!$E$14,IF(tblIPD[[#This Row],[Ward type ]]="Private",'Reference Lists'!$E$15,IF(tblIPD[[#This Row],[Ward type ]]="ICU",'Reference Lists'!$E$16,IF(tblIPD[[#This Row],[Ward type ]]="CCU",'Reference Lists'!$E$17,"")))))</f>
        <v>2000</v>
      </c>
      <c r="N11">
        <f>(tblIPD[[#This Row],[Other charges]]+tblIPD[[#This Row],[Doctor charges]]+tblIPD[[#This Row],[Nursing charges]]+tblIPD[[#This Row],[Room Charges]]+tblIPD[[#This Row],[Rate per day]])*tblIPD[[#This Row],[No. of days]]</f>
        <v>127800</v>
      </c>
      <c r="O11" t="s">
        <v>108</v>
      </c>
      <c r="R11">
        <f>tblIPD[[#This Row],[Total Amount]]*VLOOKUP(tblIPD[[#This Row],[Ward type ]],'Reference Lists'!$A$4:$B$8,2,FALSE)</f>
        <v>12780</v>
      </c>
      <c r="S11">
        <f>tblIPD[[#This Row],[Total Amount]]-tblIPD[[#This Row],[Discount]]</f>
        <v>115020</v>
      </c>
    </row>
    <row r="12" spans="1:20" x14ac:dyDescent="0.35">
      <c r="A12" t="s">
        <v>179</v>
      </c>
      <c r="B12" t="s">
        <v>145</v>
      </c>
      <c r="C12" t="str">
        <f>_xlfn.XLOOKUP(tblIPD[[#This Row],[Patient id.]],Tbl.PatRec[Patient ID],Tbl.PatRec[Name],"",0)</f>
        <v>Name 17</v>
      </c>
      <c r="D12" t="s">
        <v>16</v>
      </c>
      <c r="E12">
        <v>2</v>
      </c>
      <c r="F12" s="13">
        <v>46008</v>
      </c>
      <c r="G12" s="14">
        <v>46013</v>
      </c>
      <c r="H12">
        <f>tblIPD[[#This Row],[Discharge date]]-tblIPD[[#This Row],[Admission date ]]+1</f>
        <v>6</v>
      </c>
      <c r="I12">
        <f>IF(tblIPD[[#This Row],[Ward type ]]="General",'Reference Lists'!$I$13,IF(tblIPD[[#This Row],[Ward type ]]="Semi-Private",'Reference Lists'!$I$14,IF(tblIPD[[#This Row],[Ward type ]]="Private",'Reference Lists'!$I$15,IF(tblIPD[[#This Row],[Ward type ]]="ICU",'Reference Lists'!$I$17,IF(tblIPD[[#This Row],[Ward type ]]="CCU",'Reference Lists'!$I$16,"")))))</f>
        <v>2000</v>
      </c>
      <c r="J12">
        <f>IF(tblIPD[[#This Row],[Ward type ]]="General",'Reference Lists'!$B$13,IF(tblIPD[[#This Row],[Ward type ]]="Semi-Private",'Reference Lists'!$B$14,IF(tblIPD[[#This Row],[Ward type ]]="Private",'Reference Lists'!$B$15,IF(tblIPD[[#This Row],[Ward type ]]="ICU",'Reference Lists'!$B$16,IF(tblIPD[[#This Row],[Ward type ]]="CCU",'Reference Lists'!$B$17,"")))))</f>
        <v>700</v>
      </c>
      <c r="K12">
        <f>IF(tblIPD[[#This Row],[Ward type ]]="General",'Reference Lists'!$E$4,IF(tblIPD[[#This Row],[Ward type ]]="Semi-Private",'Reference Lists'!$E$5,IF(tblIPD[[#This Row],[Ward type ]]="Private",'Reference Lists'!$E$6,IF(tblIPD[[#This Row],[Ward type ]]="ICU",'Reference Lists'!$B$16,IF(tblIPD[[#This Row],[Ward type ]]="CCU",'Reference Lists'!$B$17,"")))))</f>
        <v>500</v>
      </c>
      <c r="L12">
        <f>IF(tblIPD[[#This Row],[Ward type ]]="General",'Reference Lists'!$E$13,IF(tblIPD[[#This Row],[Ward type ]]="Semi-Private",'Reference Lists'!$E$14,IF(tblIPD[[#This Row],[Ward type ]]="Private",'Reference Lists'!$E$15,IF(tblIPD[[#This Row],[Ward type ]]="ICU",'Reference Lists'!$E$16,IF(tblIPD[[#This Row],[Ward type ]]="CCU",'Reference Lists'!$E$17,"")))))</f>
        <v>500</v>
      </c>
      <c r="N12">
        <f>(tblIPD[[#This Row],[Other charges]]+tblIPD[[#This Row],[Doctor charges]]+tblIPD[[#This Row],[Nursing charges]]+tblIPD[[#This Row],[Room Charges]]+tblIPD[[#This Row],[Rate per day]])*tblIPD[[#This Row],[No. of days]]</f>
        <v>22200</v>
      </c>
      <c r="O12" t="s">
        <v>106</v>
      </c>
      <c r="P12" t="s">
        <v>56</v>
      </c>
      <c r="Q12" s="14">
        <v>46013</v>
      </c>
      <c r="R12">
        <f>tblIPD[[#This Row],[Total Amount]]*VLOOKUP(tblIPD[[#This Row],[Ward type ]],'Reference Lists'!$A$4:$B$8,2,FALSE)</f>
        <v>1110</v>
      </c>
      <c r="S12">
        <f>tblIPD[[#This Row],[Total Amount]]-tblIPD[[#This Row],[Discount]]</f>
        <v>21090</v>
      </c>
    </row>
    <row r="13" spans="1:20" x14ac:dyDescent="0.35">
      <c r="A13" t="s">
        <v>180</v>
      </c>
      <c r="B13" t="s">
        <v>141</v>
      </c>
      <c r="C13" t="str">
        <f>_xlfn.XLOOKUP(tblIPD[[#This Row],[Patient id.]],Tbl.PatRec[Patient ID],Tbl.PatRec[Name],"",0)</f>
        <v>Name 13</v>
      </c>
      <c r="D13" t="s">
        <v>16</v>
      </c>
      <c r="E13">
        <v>1</v>
      </c>
      <c r="F13" s="13">
        <v>45992</v>
      </c>
      <c r="G13" s="14">
        <v>45999</v>
      </c>
      <c r="H13">
        <f>tblIPD[[#This Row],[Discharge date]]-tblIPD[[#This Row],[Admission date ]]+1</f>
        <v>8</v>
      </c>
      <c r="I13">
        <f>IF(tblIPD[[#This Row],[Ward type ]]="General",'Reference Lists'!$I$13,IF(tblIPD[[#This Row],[Ward type ]]="Semi-Private",'Reference Lists'!$I$14,IF(tblIPD[[#This Row],[Ward type ]]="Private",'Reference Lists'!$I$15,IF(tblIPD[[#This Row],[Ward type ]]="ICU",'Reference Lists'!$I$17,IF(tblIPD[[#This Row],[Ward type ]]="CCU",'Reference Lists'!$I$16,"")))))</f>
        <v>2000</v>
      </c>
      <c r="J13">
        <f>IF(tblIPD[[#This Row],[Ward type ]]="General",'Reference Lists'!$B$13,IF(tblIPD[[#This Row],[Ward type ]]="Semi-Private",'Reference Lists'!$B$14,IF(tblIPD[[#This Row],[Ward type ]]="Private",'Reference Lists'!$B$15,IF(tblIPD[[#This Row],[Ward type ]]="ICU",'Reference Lists'!$B$16,IF(tblIPD[[#This Row],[Ward type ]]="CCU",'Reference Lists'!$B$17,"")))))</f>
        <v>700</v>
      </c>
      <c r="K13">
        <f>IF(tblIPD[[#This Row],[Ward type ]]="General",'Reference Lists'!$E$4,IF(tblIPD[[#This Row],[Ward type ]]="Semi-Private",'Reference Lists'!$E$5,IF(tblIPD[[#This Row],[Ward type ]]="Private",'Reference Lists'!$E$6,IF(tblIPD[[#This Row],[Ward type ]]="ICU",'Reference Lists'!$B$16,IF(tblIPD[[#This Row],[Ward type ]]="CCU",'Reference Lists'!$B$17,"")))))</f>
        <v>500</v>
      </c>
      <c r="L13">
        <f>IF(tblIPD[[#This Row],[Ward type ]]="General",'Reference Lists'!$E$13,IF(tblIPD[[#This Row],[Ward type ]]="Semi-Private",'Reference Lists'!$E$14,IF(tblIPD[[#This Row],[Ward type ]]="Private",'Reference Lists'!$E$15,IF(tblIPD[[#This Row],[Ward type ]]="ICU",'Reference Lists'!$E$16,IF(tblIPD[[#This Row],[Ward type ]]="CCU",'Reference Lists'!$E$17,"")))))</f>
        <v>500</v>
      </c>
      <c r="N13">
        <f>(tblIPD[[#This Row],[Other charges]]+tblIPD[[#This Row],[Doctor charges]]+tblIPD[[#This Row],[Nursing charges]]+tblIPD[[#This Row],[Room Charges]]+tblIPD[[#This Row],[Rate per day]])*tblIPD[[#This Row],[No. of days]]</f>
        <v>29600</v>
      </c>
      <c r="O13" t="s">
        <v>106</v>
      </c>
      <c r="P13" t="s">
        <v>55</v>
      </c>
      <c r="Q13" s="14">
        <v>45999</v>
      </c>
      <c r="R13">
        <f>tblIPD[[#This Row],[Total Amount]]*VLOOKUP(tblIPD[[#This Row],[Ward type ]],'Reference Lists'!$A$4:$B$8,2,FALSE)</f>
        <v>1480</v>
      </c>
      <c r="S13">
        <f>tblIPD[[#This Row],[Total Amount]]-tblIPD[[#This Row],[Discount]]</f>
        <v>28120</v>
      </c>
    </row>
    <row r="14" spans="1:20" x14ac:dyDescent="0.35">
      <c r="A14" t="s">
        <v>181</v>
      </c>
      <c r="B14" t="s">
        <v>147</v>
      </c>
      <c r="C14" t="str">
        <f>_xlfn.XLOOKUP(tblIPD[[#This Row],[Patient id.]],Tbl.PatRec[Patient ID],Tbl.PatRec[Name],"",0)</f>
        <v>Name 19</v>
      </c>
      <c r="D14" t="s">
        <v>100</v>
      </c>
      <c r="E14">
        <v>1</v>
      </c>
      <c r="F14" s="13">
        <v>45997</v>
      </c>
      <c r="G14" s="14">
        <v>46004</v>
      </c>
      <c r="H14">
        <f>tblIPD[[#This Row],[Discharge date]]-tblIPD[[#This Row],[Admission date ]]+1</f>
        <v>8</v>
      </c>
      <c r="I14">
        <f>IF(tblIPD[[#This Row],[Ward type ]]="General",'Reference Lists'!$I$13,IF(tblIPD[[#This Row],[Ward type ]]="Semi-Private",'Reference Lists'!$I$14,IF(tblIPD[[#This Row],[Ward type ]]="Private",'Reference Lists'!$I$15,IF(tblIPD[[#This Row],[Ward type ]]="ICU",'Reference Lists'!$I$17,IF(tblIPD[[#This Row],[Ward type ]]="CCU",'Reference Lists'!$I$16,"")))))</f>
        <v>4000</v>
      </c>
      <c r="J14">
        <f>IF(tblIPD[[#This Row],[Ward type ]]="General",'Reference Lists'!$B$13,IF(tblIPD[[#This Row],[Ward type ]]="Semi-Private",'Reference Lists'!$B$14,IF(tblIPD[[#This Row],[Ward type ]]="Private",'Reference Lists'!$B$15,IF(tblIPD[[#This Row],[Ward type ]]="ICU",'Reference Lists'!$B$16,IF(tblIPD[[#This Row],[Ward type ]]="CCU",'Reference Lists'!$B$17,"")))))</f>
        <v>2000</v>
      </c>
      <c r="K14">
        <f>IF(tblIPD[[#This Row],[Ward type ]]="General",'Reference Lists'!$E$4,IF(tblIPD[[#This Row],[Ward type ]]="Semi-Private",'Reference Lists'!$E$5,IF(tblIPD[[#This Row],[Ward type ]]="Private",'Reference Lists'!$E$6,IF(tblIPD[[#This Row],[Ward type ]]="ICU",'Reference Lists'!$B$16,IF(tblIPD[[#This Row],[Ward type ]]="CCU",'Reference Lists'!$B$17,"")))))</f>
        <v>800</v>
      </c>
      <c r="L14">
        <f>IF(tblIPD[[#This Row],[Ward type ]]="General",'Reference Lists'!$E$13,IF(tblIPD[[#This Row],[Ward type ]]="Semi-Private",'Reference Lists'!$E$14,IF(tblIPD[[#This Row],[Ward type ]]="Private",'Reference Lists'!$E$15,IF(tblIPD[[#This Row],[Ward type ]]="ICU",'Reference Lists'!$E$16,IF(tblIPD[[#This Row],[Ward type ]]="CCU",'Reference Lists'!$E$17,"")))))</f>
        <v>1200</v>
      </c>
      <c r="N14">
        <f>(tblIPD[[#This Row],[Other charges]]+tblIPD[[#This Row],[Doctor charges]]+tblIPD[[#This Row],[Nursing charges]]+tblIPD[[#This Row],[Room Charges]]+tblIPD[[#This Row],[Rate per day]])*tblIPD[[#This Row],[No. of days]]</f>
        <v>64000</v>
      </c>
      <c r="O14" t="s">
        <v>106</v>
      </c>
      <c r="P14" t="s">
        <v>32</v>
      </c>
      <c r="Q14" s="14">
        <v>46004</v>
      </c>
      <c r="R14">
        <f>tblIPD[[#This Row],[Total Amount]]*VLOOKUP(tblIPD[[#This Row],[Ward type ]],'Reference Lists'!$A$4:$B$8,2,FALSE)</f>
        <v>4480</v>
      </c>
      <c r="S14">
        <f>tblIPD[[#This Row],[Total Amount]]-tblIPD[[#This Row],[Discount]]</f>
        <v>59520</v>
      </c>
    </row>
    <row r="15" spans="1:20" x14ac:dyDescent="0.35">
      <c r="A15" t="s">
        <v>182</v>
      </c>
      <c r="B15" s="29" t="s">
        <v>67</v>
      </c>
      <c r="C15" s="29" t="str">
        <f>_xlfn.XLOOKUP(tblIPD[[#This Row],[Patient id.]],Tbl.PatRec[Patient ID],Tbl.PatRec[Name],"",0)</f>
        <v>Name 8</v>
      </c>
      <c r="E15" s="29"/>
      <c r="F15" s="13"/>
      <c r="H15" s="29">
        <f>tblIPD[[#This Row],[Discharge date]]-tblIPD[[#This Row],[Admission date ]]+1</f>
        <v>1</v>
      </c>
      <c r="I15" s="29" t="str">
        <f>IF(tblIPD[[#This Row],[Ward type ]]="General",'Reference Lists'!$I$13,IF(tblIPD[[#This Row],[Ward type ]]="Semi-Private",'Reference Lists'!$I$14,IF(tblIPD[[#This Row],[Ward type ]]="Private",'Reference Lists'!$I$15,IF(tblIPD[[#This Row],[Ward type ]]="ICU",'Reference Lists'!$I$17,IF(tblIPD[[#This Row],[Ward type ]]="CCU",'Reference Lists'!$I$16,"")))))</f>
        <v/>
      </c>
      <c r="J15" s="29" t="str">
        <f>IF(tblIPD[[#This Row],[Ward type ]]="General",'Reference Lists'!$B$13,IF(tblIPD[[#This Row],[Ward type ]]="Semi-Private",'Reference Lists'!$B$14,IF(tblIPD[[#This Row],[Ward type ]]="Private",'Reference Lists'!$B$15,IF(tblIPD[[#This Row],[Ward type ]]="ICU",'Reference Lists'!$B$16,IF(tblIPD[[#This Row],[Ward type ]]="CCU",'Reference Lists'!$B$17,"")))))</f>
        <v/>
      </c>
      <c r="K15" s="29" t="str">
        <f>IF(tblIPD[[#This Row],[Ward type ]]="General",'Reference Lists'!$E$4,IF(tblIPD[[#This Row],[Ward type ]]="Semi-Private",'Reference Lists'!$E$5,IF(tblIPD[[#This Row],[Ward type ]]="Private",'Reference Lists'!$E$6,IF(tblIPD[[#This Row],[Ward type ]]="ICU",'Reference Lists'!$B$16,IF(tblIPD[[#This Row],[Ward type ]]="CCU",'Reference Lists'!$B$17,"")))))</f>
        <v/>
      </c>
      <c r="L15" s="29" t="str">
        <f>IF(tblIPD[[#This Row],[Ward type ]]="General",'Reference Lists'!$E$13,IF(tblIPD[[#This Row],[Ward type ]]="Semi-Private",'Reference Lists'!$E$14,IF(tblIPD[[#This Row],[Ward type ]]="Private",'Reference Lists'!$E$15,IF(tblIPD[[#This Row],[Ward type ]]="ICU",'Reference Lists'!$E$16,IF(tblIPD[[#This Row],[Ward type ]]="CCU",'Reference Lists'!$E$17,"")))))</f>
        <v/>
      </c>
      <c r="N15" s="29" t="e">
        <f>(tblIPD[[#This Row],[Other charges]]+tblIPD[[#This Row],[Doctor charges]]+tblIPD[[#This Row],[Nursing charges]]+tblIPD[[#This Row],[Room Charges]]+tblIPD[[#This Row],[Rate per day]])*tblIPD[[#This Row],[No. of days]]</f>
        <v>#VALUE!</v>
      </c>
      <c r="R15" s="29" t="e">
        <f>tblIPD[[#This Row],[Total Amount]]*VLOOKUP(tblIPD[[#This Row],[Ward type ]],'Reference Lists'!$A$4:$B$8,2,FALSE)</f>
        <v>#VALUE!</v>
      </c>
      <c r="S15" s="29" t="e">
        <f>tblIPD[[#This Row],[Total Amount]]-tblIPD[[#This Row],[Discount]]</f>
        <v>#VALUE!</v>
      </c>
    </row>
    <row r="16" spans="1:20" x14ac:dyDescent="0.35">
      <c r="B16" s="29" t="s">
        <v>142</v>
      </c>
      <c r="C16" s="29" t="str">
        <f>_xlfn.XLOOKUP(tblIPD[[#This Row],[Patient id.]],Tbl.PatRec[Patient ID],Tbl.PatRec[Name],"",0)</f>
        <v>Name 14</v>
      </c>
      <c r="E16" s="29"/>
      <c r="F16" s="13"/>
      <c r="H16" s="29">
        <f>tblIPD[[#This Row],[Discharge date]]-tblIPD[[#This Row],[Admission date ]]+1</f>
        <v>1</v>
      </c>
      <c r="I16" s="29" t="str">
        <f>IF(tblIPD[[#This Row],[Ward type ]]="General",'Reference Lists'!$I$13,IF(tblIPD[[#This Row],[Ward type ]]="Semi-Private",'Reference Lists'!$I$14,IF(tblIPD[[#This Row],[Ward type ]]="Private",'Reference Lists'!$I$15,IF(tblIPD[[#This Row],[Ward type ]]="ICU",'Reference Lists'!$I$17,IF(tblIPD[[#This Row],[Ward type ]]="CCU",'Reference Lists'!$I$16,"")))))</f>
        <v/>
      </c>
      <c r="J16" s="29" t="str">
        <f>IF(tblIPD[[#This Row],[Ward type ]]="General",'Reference Lists'!$B$13,IF(tblIPD[[#This Row],[Ward type ]]="Semi-Private",'Reference Lists'!$B$14,IF(tblIPD[[#This Row],[Ward type ]]="Private",'Reference Lists'!$B$15,IF(tblIPD[[#This Row],[Ward type ]]="ICU",'Reference Lists'!$B$16,IF(tblIPD[[#This Row],[Ward type ]]="CCU",'Reference Lists'!$B$17,"")))))</f>
        <v/>
      </c>
      <c r="K16" s="29" t="str">
        <f>IF(tblIPD[[#This Row],[Ward type ]]="General",'Reference Lists'!$E$4,IF(tblIPD[[#This Row],[Ward type ]]="Semi-Private",'Reference Lists'!$E$5,IF(tblIPD[[#This Row],[Ward type ]]="Private",'Reference Lists'!$E$6,IF(tblIPD[[#This Row],[Ward type ]]="ICU",'Reference Lists'!$B$16,IF(tblIPD[[#This Row],[Ward type ]]="CCU",'Reference Lists'!$B$17,"")))))</f>
        <v/>
      </c>
      <c r="L16" s="29" t="str">
        <f>IF(tblIPD[[#This Row],[Ward type ]]="General",'Reference Lists'!$E$13,IF(tblIPD[[#This Row],[Ward type ]]="Semi-Private",'Reference Lists'!$E$14,IF(tblIPD[[#This Row],[Ward type ]]="Private",'Reference Lists'!$E$15,IF(tblIPD[[#This Row],[Ward type ]]="ICU",'Reference Lists'!$E$16,IF(tblIPD[[#This Row],[Ward type ]]="CCU",'Reference Lists'!$E$17,"")))))</f>
        <v/>
      </c>
      <c r="N16" s="29" t="e">
        <f>(tblIPD[[#This Row],[Other charges]]+tblIPD[[#This Row],[Doctor charges]]+tblIPD[[#This Row],[Nursing charges]]+tblIPD[[#This Row],[Room Charges]]+tblIPD[[#This Row],[Rate per day]])*tblIPD[[#This Row],[No. of days]]</f>
        <v>#VALUE!</v>
      </c>
      <c r="R16" s="29" t="e">
        <f>tblIPD[[#This Row],[Total Amount]]*VLOOKUP(tblIPD[[#This Row],[Ward type ]],'Reference Lists'!$A$4:$B$8,2,FALSE)</f>
        <v>#VALUE!</v>
      </c>
      <c r="S16" s="29" t="e">
        <f>tblIPD[[#This Row],[Total Amount]]-tblIPD[[#This Row],[Discount]]</f>
        <v>#VALUE!</v>
      </c>
    </row>
  </sheetData>
  <mergeCells count="1">
    <mergeCell ref="G1:I2"/>
  </mergeCells>
  <phoneticPr fontId="2" type="noConversion"/>
  <dataValidations count="4">
    <dataValidation type="list" allowBlank="1" showInputMessage="1" showErrorMessage="1" sqref="O5:O16" xr:uid="{00000000-0002-0000-0400-000000000000}">
      <formula1>"Paid, Unpaid"</formula1>
    </dataValidation>
    <dataValidation allowBlank="1" showInputMessage="1" showErrorMessage="1" sqref="F5:H16" xr:uid="{00000000-0002-0000-0400-000001000000}"/>
    <dataValidation type="list" allowBlank="1" showInputMessage="1" showErrorMessage="1" sqref="P5:P16" xr:uid="{00000000-0002-0000-0400-000002000000}">
      <formula1>"Cash, Card, Insurance"</formula1>
    </dataValidation>
    <dataValidation type="custom" allowBlank="1" showInputMessage="1" showErrorMessage="1" errorTitle="Warning" error="Patient already admitted. OPD billing not allowed." sqref="B15" xr:uid="{B589C688-F8F3-42C5-8CFE-2F68D5C85F6A}">
      <formula1>COUNTIF(A15:A24,B15)=0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FF434-E957-46D4-BBD2-2CF5DC16D051}">
          <x14:formula1>
            <xm:f>'Reference Lists'!$A$4:$A$8</xm:f>
          </x14:formula1>
          <xm:sqref>D5:D16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3:X38"/>
  <sheetViews>
    <sheetView zoomScale="128" zoomScaleNormal="115" workbookViewId="0">
      <selection activeCell="B4" sqref="B4"/>
    </sheetView>
  </sheetViews>
  <sheetFormatPr defaultRowHeight="14.5" x14ac:dyDescent="0.35"/>
  <cols>
    <col min="1" max="1" width="16.81640625" customWidth="1"/>
    <col min="3" max="3" width="15.7265625" bestFit="1" customWidth="1"/>
    <col min="4" max="4" width="16.453125" bestFit="1" customWidth="1"/>
    <col min="5" max="5" width="16.54296875" customWidth="1"/>
    <col min="6" max="6" width="15" bestFit="1" customWidth="1"/>
    <col min="8" max="8" width="18.453125" bestFit="1" customWidth="1"/>
    <col min="10" max="10" width="14" bestFit="1" customWidth="1"/>
    <col min="11" max="11" width="15" bestFit="1" customWidth="1"/>
    <col min="13" max="13" width="15.54296875" bestFit="1" customWidth="1"/>
    <col min="16" max="16" width="17.81640625" bestFit="1" customWidth="1"/>
    <col min="17" max="17" width="11" customWidth="1"/>
    <col min="20" max="20" width="17.81640625" bestFit="1" customWidth="1"/>
    <col min="21" max="21" width="5" customWidth="1"/>
  </cols>
  <sheetData>
    <row r="3" spans="1:24" x14ac:dyDescent="0.35">
      <c r="A3" s="45" t="s">
        <v>154</v>
      </c>
      <c r="B3" s="45"/>
      <c r="D3" s="45" t="s">
        <v>103</v>
      </c>
      <c r="E3" s="45"/>
      <c r="H3" s="45" t="s">
        <v>102</v>
      </c>
      <c r="I3" s="45"/>
      <c r="K3" s="4" t="s">
        <v>39</v>
      </c>
    </row>
    <row r="4" spans="1:24" x14ac:dyDescent="0.35">
      <c r="A4" s="15" t="s">
        <v>16</v>
      </c>
      <c r="B4" s="19">
        <v>0.05</v>
      </c>
      <c r="D4" s="15" t="s">
        <v>16</v>
      </c>
      <c r="E4" s="15">
        <v>500</v>
      </c>
      <c r="H4" s="15" t="s">
        <v>16</v>
      </c>
      <c r="I4" s="16">
        <v>2000</v>
      </c>
      <c r="K4" s="5" t="s">
        <v>38</v>
      </c>
    </row>
    <row r="5" spans="1:24" x14ac:dyDescent="0.35">
      <c r="A5" s="17" t="s">
        <v>100</v>
      </c>
      <c r="B5" s="20">
        <v>7.0000000000000007E-2</v>
      </c>
      <c r="D5" s="17" t="s">
        <v>100</v>
      </c>
      <c r="E5" s="17">
        <v>800</v>
      </c>
      <c r="H5" s="17" t="s">
        <v>100</v>
      </c>
      <c r="I5" s="18">
        <v>4000</v>
      </c>
      <c r="K5" s="6" t="s">
        <v>40</v>
      </c>
    </row>
    <row r="6" spans="1:24" x14ac:dyDescent="0.35">
      <c r="A6" s="15" t="s">
        <v>101</v>
      </c>
      <c r="B6" s="19">
        <v>0.1</v>
      </c>
      <c r="D6" s="15" t="s">
        <v>101</v>
      </c>
      <c r="E6" s="15">
        <v>1200</v>
      </c>
      <c r="H6" s="15" t="s">
        <v>155</v>
      </c>
      <c r="I6" s="16">
        <v>8000</v>
      </c>
      <c r="K6" s="5" t="s">
        <v>37</v>
      </c>
    </row>
    <row r="7" spans="1:24" x14ac:dyDescent="0.35">
      <c r="A7" s="17" t="s">
        <v>17</v>
      </c>
      <c r="B7" s="20">
        <v>0.05</v>
      </c>
      <c r="D7" s="17" t="s">
        <v>17</v>
      </c>
      <c r="E7" s="17">
        <v>2500</v>
      </c>
      <c r="H7" s="17" t="s">
        <v>18</v>
      </c>
      <c r="I7" s="18">
        <v>12000</v>
      </c>
      <c r="K7" s="6" t="s">
        <v>41</v>
      </c>
    </row>
    <row r="8" spans="1:24" x14ac:dyDescent="0.35">
      <c r="A8" s="15" t="s">
        <v>18</v>
      </c>
      <c r="B8" s="21">
        <v>0.08</v>
      </c>
      <c r="D8" s="15" t="s">
        <v>18</v>
      </c>
      <c r="E8" s="15">
        <v>2000</v>
      </c>
      <c r="H8" s="11" t="s">
        <v>17</v>
      </c>
      <c r="I8" s="12">
        <v>15000</v>
      </c>
      <c r="K8" s="5" t="s">
        <v>42</v>
      </c>
    </row>
    <row r="9" spans="1:24" x14ac:dyDescent="0.35">
      <c r="K9" s="6" t="s">
        <v>43</v>
      </c>
    </row>
    <row r="10" spans="1:24" x14ac:dyDescent="0.35">
      <c r="K10" s="5" t="s">
        <v>44</v>
      </c>
    </row>
    <row r="11" spans="1:24" x14ac:dyDescent="0.35">
      <c r="K11" s="6" t="s">
        <v>45</v>
      </c>
    </row>
    <row r="12" spans="1:24" x14ac:dyDescent="0.35">
      <c r="A12" s="45" t="s">
        <v>95</v>
      </c>
      <c r="B12" s="45"/>
      <c r="D12" s="45" t="s">
        <v>104</v>
      </c>
      <c r="E12" s="45"/>
      <c r="H12" s="45" t="s">
        <v>102</v>
      </c>
      <c r="I12" s="45"/>
      <c r="K12" s="5" t="s">
        <v>46</v>
      </c>
    </row>
    <row r="13" spans="1:24" x14ac:dyDescent="0.35">
      <c r="A13" t="s">
        <v>16</v>
      </c>
      <c r="B13">
        <v>700</v>
      </c>
      <c r="D13" s="15" t="s">
        <v>156</v>
      </c>
      <c r="E13" s="15">
        <v>500</v>
      </c>
      <c r="H13" s="15" t="s">
        <v>16</v>
      </c>
      <c r="I13" s="16">
        <v>2000</v>
      </c>
      <c r="K13" s="3" t="s">
        <v>47</v>
      </c>
    </row>
    <row r="14" spans="1:24" x14ac:dyDescent="0.35">
      <c r="A14" s="15" t="s">
        <v>100</v>
      </c>
      <c r="B14" s="15">
        <v>2000</v>
      </c>
      <c r="D14" s="17" t="s">
        <v>100</v>
      </c>
      <c r="E14" s="17">
        <v>1200</v>
      </c>
      <c r="H14" s="17" t="s">
        <v>100</v>
      </c>
      <c r="I14" s="18">
        <v>4000</v>
      </c>
    </row>
    <row r="15" spans="1:24" x14ac:dyDescent="0.35">
      <c r="A15" s="17" t="s">
        <v>101</v>
      </c>
      <c r="B15" s="17">
        <v>3000</v>
      </c>
      <c r="D15" s="15" t="s">
        <v>101</v>
      </c>
      <c r="E15" s="15">
        <v>2000</v>
      </c>
      <c r="H15" s="15" t="s">
        <v>101</v>
      </c>
      <c r="I15" s="16">
        <v>8000</v>
      </c>
    </row>
    <row r="16" spans="1:24" x14ac:dyDescent="0.35">
      <c r="A16" s="15" t="s">
        <v>17</v>
      </c>
      <c r="B16" s="15">
        <v>8000</v>
      </c>
      <c r="D16" s="17" t="s">
        <v>17</v>
      </c>
      <c r="E16" s="17">
        <v>2500</v>
      </c>
      <c r="H16" s="17" t="s">
        <v>18</v>
      </c>
      <c r="I16" s="18">
        <v>12000</v>
      </c>
      <c r="X16" s="22"/>
    </row>
    <row r="17" spans="1:9" x14ac:dyDescent="0.35">
      <c r="A17" s="17" t="s">
        <v>18</v>
      </c>
      <c r="B17" s="17">
        <v>6000</v>
      </c>
      <c r="D17" s="15" t="s">
        <v>18</v>
      </c>
      <c r="E17" s="16">
        <v>2200</v>
      </c>
      <c r="H17" s="11" t="s">
        <v>17</v>
      </c>
      <c r="I17" s="12">
        <v>15000</v>
      </c>
    </row>
    <row r="23" spans="1:9" ht="15" thickBot="1" x14ac:dyDescent="0.4"/>
    <row r="24" spans="1:9" ht="44" thickBot="1" x14ac:dyDescent="0.4">
      <c r="A24" s="23" t="s">
        <v>111</v>
      </c>
      <c r="B24" s="23" t="s">
        <v>112</v>
      </c>
      <c r="C24" s="24" t="s">
        <v>113</v>
      </c>
      <c r="D24" s="25" t="s">
        <v>109</v>
      </c>
      <c r="F24" s="23" t="s">
        <v>111</v>
      </c>
    </row>
    <row r="25" spans="1:9" ht="29.5" thickBot="1" x14ac:dyDescent="0.4">
      <c r="A25" s="23" t="s">
        <v>114</v>
      </c>
      <c r="B25" s="26">
        <v>1000</v>
      </c>
      <c r="C25" s="24" t="s">
        <v>115</v>
      </c>
      <c r="D25" s="27">
        <v>0.05</v>
      </c>
      <c r="F25" s="23" t="s">
        <v>114</v>
      </c>
    </row>
    <row r="26" spans="1:9" ht="44" thickBot="1" x14ac:dyDescent="0.4">
      <c r="A26" s="23" t="s">
        <v>116</v>
      </c>
      <c r="B26" s="26">
        <v>2500</v>
      </c>
      <c r="C26" s="24" t="s">
        <v>115</v>
      </c>
      <c r="D26" s="27">
        <v>0.08</v>
      </c>
      <c r="F26" s="23" t="s">
        <v>116</v>
      </c>
    </row>
    <row r="27" spans="1:9" ht="29.5" thickBot="1" x14ac:dyDescent="0.4">
      <c r="A27" s="23" t="s">
        <v>117</v>
      </c>
      <c r="B27" s="26">
        <v>1000</v>
      </c>
      <c r="C27" s="24" t="s">
        <v>25</v>
      </c>
      <c r="D27" s="27">
        <v>0.05</v>
      </c>
      <c r="F27" s="23" t="s">
        <v>169</v>
      </c>
    </row>
    <row r="28" spans="1:9" ht="29.5" thickBot="1" x14ac:dyDescent="0.4">
      <c r="A28" s="23" t="s">
        <v>118</v>
      </c>
      <c r="B28" s="23">
        <v>500</v>
      </c>
      <c r="C28" s="24" t="s">
        <v>119</v>
      </c>
      <c r="D28" s="27">
        <v>0</v>
      </c>
      <c r="F28" s="23" t="s">
        <v>118</v>
      </c>
    </row>
    <row r="29" spans="1:9" ht="29.5" thickBot="1" x14ac:dyDescent="0.4">
      <c r="A29" s="23" t="s">
        <v>120</v>
      </c>
      <c r="B29" s="26">
        <v>1500</v>
      </c>
      <c r="C29" s="24" t="s">
        <v>119</v>
      </c>
      <c r="D29" s="27">
        <v>0.06</v>
      </c>
      <c r="F29" s="23" t="s">
        <v>120</v>
      </c>
    </row>
    <row r="30" spans="1:9" ht="29.5" thickBot="1" x14ac:dyDescent="0.4">
      <c r="A30" s="23" t="s">
        <v>121</v>
      </c>
      <c r="B30" s="26">
        <v>1000</v>
      </c>
      <c r="C30" s="24" t="s">
        <v>122</v>
      </c>
      <c r="D30" s="27">
        <v>0.05</v>
      </c>
      <c r="F30" s="23" t="s">
        <v>121</v>
      </c>
    </row>
    <row r="31" spans="1:9" ht="29.5" thickBot="1" x14ac:dyDescent="0.4">
      <c r="A31" s="23" t="s">
        <v>123</v>
      </c>
      <c r="B31" s="23">
        <v>200</v>
      </c>
      <c r="C31" s="24" t="s">
        <v>119</v>
      </c>
      <c r="D31" s="27">
        <v>0</v>
      </c>
      <c r="F31" s="23" t="s">
        <v>170</v>
      </c>
    </row>
    <row r="32" spans="1:9" ht="29.5" thickBot="1" x14ac:dyDescent="0.4">
      <c r="A32" s="23" t="s">
        <v>124</v>
      </c>
      <c r="B32" s="23">
        <v>400</v>
      </c>
      <c r="C32" s="24" t="s">
        <v>125</v>
      </c>
      <c r="D32" s="27">
        <v>0</v>
      </c>
      <c r="F32" s="23" t="s">
        <v>171</v>
      </c>
    </row>
    <row r="33" spans="1:6" ht="15" thickBot="1" x14ac:dyDescent="0.4">
      <c r="A33" s="23" t="s">
        <v>126</v>
      </c>
      <c r="B33" s="23">
        <v>800</v>
      </c>
      <c r="C33" s="24" t="s">
        <v>127</v>
      </c>
      <c r="D33" s="28"/>
      <c r="F33" s="23" t="s">
        <v>126</v>
      </c>
    </row>
    <row r="34" spans="1:6" ht="15" thickBot="1" x14ac:dyDescent="0.4">
      <c r="A34" s="23" t="s">
        <v>132</v>
      </c>
      <c r="B34" s="26">
        <v>2500</v>
      </c>
      <c r="C34" s="24" t="s">
        <v>110</v>
      </c>
      <c r="D34" s="27">
        <v>0.08</v>
      </c>
      <c r="F34" s="23" t="s">
        <v>132</v>
      </c>
    </row>
    <row r="35" spans="1:6" ht="15" thickBot="1" x14ac:dyDescent="0.4">
      <c r="A35" s="23" t="s">
        <v>133</v>
      </c>
      <c r="B35" s="26">
        <v>1200</v>
      </c>
      <c r="C35" s="24" t="s">
        <v>110</v>
      </c>
      <c r="D35" s="27">
        <v>0.06</v>
      </c>
      <c r="F35" s="23" t="s">
        <v>133</v>
      </c>
    </row>
    <row r="36" spans="1:6" ht="15" thickBot="1" x14ac:dyDescent="0.4">
      <c r="A36" s="23" t="s">
        <v>134</v>
      </c>
      <c r="B36" s="23">
        <v>150</v>
      </c>
      <c r="C36" s="24" t="s">
        <v>128</v>
      </c>
      <c r="D36" s="27">
        <v>0</v>
      </c>
      <c r="F36" s="23" t="s">
        <v>134</v>
      </c>
    </row>
    <row r="37" spans="1:6" ht="29.5" thickBot="1" x14ac:dyDescent="0.4">
      <c r="A37" s="23" t="s">
        <v>135</v>
      </c>
      <c r="B37" s="26">
        <v>35000</v>
      </c>
      <c r="C37" s="24" t="s">
        <v>129</v>
      </c>
      <c r="D37" s="27">
        <v>0.15</v>
      </c>
      <c r="F37" s="23" t="s">
        <v>135</v>
      </c>
    </row>
    <row r="38" spans="1:6" ht="15" thickBot="1" x14ac:dyDescent="0.4">
      <c r="A38" s="23" t="s">
        <v>130</v>
      </c>
      <c r="B38" s="26">
        <v>5000</v>
      </c>
      <c r="C38" s="24" t="s">
        <v>131</v>
      </c>
      <c r="D38" s="27">
        <v>0.1</v>
      </c>
      <c r="F38" s="23" t="s">
        <v>130</v>
      </c>
    </row>
  </sheetData>
  <mergeCells count="6">
    <mergeCell ref="A3:B3"/>
    <mergeCell ref="A12:B12"/>
    <mergeCell ref="D12:E12"/>
    <mergeCell ref="H12:I12"/>
    <mergeCell ref="D3:E3"/>
    <mergeCell ref="H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Patients Record </vt:lpstr>
      <vt:lpstr> OPD Billing </vt:lpstr>
      <vt:lpstr>IPD Billing</vt:lpstr>
      <vt:lpstr>Reference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 Asad</dc:creator>
  <cp:lastModifiedBy>Umair Asad</cp:lastModifiedBy>
  <dcterms:created xsi:type="dcterms:W3CDTF">2025-12-25T03:24:51Z</dcterms:created>
  <dcterms:modified xsi:type="dcterms:W3CDTF">2026-01-05T00:07:28Z</dcterms:modified>
</cp:coreProperties>
</file>